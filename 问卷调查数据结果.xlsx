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<sst xmlns="http://schemas.openxmlformats.org/spreadsheetml/2006/main" count="1976" uniqueCount="386">
  <si>
    <t>自我超越</t>
  </si>
  <si>
    <t>开放的变化</t>
  </si>
  <si>
    <t>自我提升</t>
  </si>
  <si>
    <t>保守</t>
  </si>
  <si>
    <t>6、您的性别：</t>
  </si>
  <si>
    <t>7、您的年龄段：</t>
  </si>
  <si>
    <t>8、您的学历：</t>
  </si>
  <si>
    <t>9、请选择城市:</t>
  </si>
  <si>
    <t>10、您或者您的家人是否曾患有心脑血管疾病？</t>
  </si>
  <si>
    <t>序号</t>
  </si>
  <si>
    <t>提交答卷时间</t>
  </si>
  <si>
    <t>所用时间</t>
  </si>
  <si>
    <t>来源</t>
  </si>
  <si>
    <t>来源详情</t>
  </si>
  <si>
    <t>来自IP</t>
  </si>
  <si>
    <t>1、请随机选择短视频</t>
  </si>
  <si>
    <r>
      <t>2</t>
    </r>
    <r>
      <rPr>
        <sz val="10"/>
        <color theme="1"/>
        <rFont val="宋体"/>
        <charset val="134"/>
      </rPr>
      <t>、观看视频后，请根据您目前的感受对下列内容的重要性进行打分：</t>
    </r>
    <r>
      <rPr>
        <sz val="10"/>
        <color theme="1"/>
        <rFont val="Arial"/>
        <charset val="134"/>
      </rPr>
      <t>—</t>
    </r>
    <r>
      <rPr>
        <sz val="10"/>
        <color theme="1"/>
        <rFont val="宋体"/>
        <charset val="134"/>
      </rPr>
      <t>公平、正义、多样性</t>
    </r>
  </si>
  <si>
    <t>2、乐于助人、忠诚、亲密关系</t>
  </si>
  <si>
    <t>2、独创性、创造性、独立思考</t>
  </si>
  <si>
    <t>2、新奇、刺激</t>
  </si>
  <si>
    <t>2、享受、快乐</t>
  </si>
  <si>
    <t>2、成功、能力、钦佩</t>
  </si>
  <si>
    <t>2、财富、控制</t>
  </si>
  <si>
    <t>2、安全、社会秩序</t>
  </si>
  <si>
    <t>2、服从、社会规范</t>
  </si>
  <si>
    <t>2、谦虚、接受</t>
  </si>
  <si>
    <t>湖北-武汉</t>
  </si>
  <si>
    <t>2024/9/12 14:13:45</t>
  </si>
  <si>
    <t>153秒</t>
  </si>
  <si>
    <t>微信</t>
  </si>
  <si>
    <t>N/A</t>
  </si>
  <si>
    <t>59.172.176.238(湖北-武汉)</t>
  </si>
  <si>
    <t>天津-和平区</t>
  </si>
  <si>
    <t>2024/9/12 15:18:27</t>
  </si>
  <si>
    <t>71秒</t>
  </si>
  <si>
    <t>171.82.120.187(湖北-武汉)</t>
  </si>
  <si>
    <t>2024/9/12 15:19:29</t>
  </si>
  <si>
    <t>131秒</t>
  </si>
  <si>
    <t>59.172.176.20(湖北-武汉)</t>
  </si>
  <si>
    <t>山东-济南</t>
  </si>
  <si>
    <t>2024/9/12 15:19:57</t>
  </si>
  <si>
    <t>52秒</t>
  </si>
  <si>
    <t>112.224.160.196(山东-济南)</t>
  </si>
  <si>
    <t>2024/9/12 15:20:48</t>
  </si>
  <si>
    <t>234秒</t>
  </si>
  <si>
    <t>116.169.80.240(四川-未知)</t>
  </si>
  <si>
    <t>2024/9/12 15:21:20</t>
  </si>
  <si>
    <t>206秒</t>
  </si>
  <si>
    <t>223.104.122.110(湖北-武汉)</t>
  </si>
  <si>
    <t>2024/9/12 15:21:27</t>
  </si>
  <si>
    <t>97秒</t>
  </si>
  <si>
    <t>59.172.176.202(湖北-武汉)</t>
  </si>
  <si>
    <t>四川-广安</t>
  </si>
  <si>
    <t>2024/9/12 15:21:42</t>
  </si>
  <si>
    <t>192秒</t>
  </si>
  <si>
    <t>59.172.176.78(湖北-武汉)</t>
  </si>
  <si>
    <t>2024/9/12 15:22:29</t>
  </si>
  <si>
    <t>59.172.176.165(湖北-武汉)</t>
  </si>
  <si>
    <t>2024/9/12 15:25:26</t>
  </si>
  <si>
    <t>118秒</t>
  </si>
  <si>
    <t>61.242.135.142(湖北-武汉)</t>
  </si>
  <si>
    <t>2024/9/12 15:25:33</t>
  </si>
  <si>
    <t>40秒</t>
  </si>
  <si>
    <t>43.247.27.249(澳门-未知)</t>
  </si>
  <si>
    <t>湖南-衡阳</t>
  </si>
  <si>
    <t>2024/9/12 15:27:27</t>
  </si>
  <si>
    <t>100秒</t>
  </si>
  <si>
    <t>39.144.180.24(河南-信阳)</t>
  </si>
  <si>
    <t>2024/9/12 15:31:38</t>
  </si>
  <si>
    <t>104秒</t>
  </si>
  <si>
    <t>59.172.176.170(湖北-武汉)</t>
  </si>
  <si>
    <t>辽宁-沈阳</t>
  </si>
  <si>
    <t>2024/9/12 15:32:58</t>
  </si>
  <si>
    <t>61秒</t>
  </si>
  <si>
    <t>59.172.176.160(湖北-武汉)</t>
  </si>
  <si>
    <t>北京-海淀区</t>
  </si>
  <si>
    <t>2024/9/12 15:34:30</t>
  </si>
  <si>
    <t>184秒</t>
  </si>
  <si>
    <t>36.112.3.180(北京-北京)</t>
  </si>
  <si>
    <t>河南-焦作</t>
  </si>
  <si>
    <t>2024/9/12 15:35:55</t>
  </si>
  <si>
    <t>331秒</t>
  </si>
  <si>
    <t>125.43.195.91(河南-焦作)</t>
  </si>
  <si>
    <t>2024/9/12 15:41:16</t>
  </si>
  <si>
    <t>173秒</t>
  </si>
  <si>
    <t>175.223.35.105(国外-韩国)</t>
  </si>
  <si>
    <t>2024/9/12 15:42:08</t>
  </si>
  <si>
    <t>165秒</t>
  </si>
  <si>
    <t>124.65.197.190(北京-北京)</t>
  </si>
  <si>
    <t>2024/9/12 15:43:41</t>
  </si>
  <si>
    <t>166秒</t>
  </si>
  <si>
    <t>36.112.3.240(北京-北京)</t>
  </si>
  <si>
    <t>2024/9/12 15:43:46</t>
  </si>
  <si>
    <t>76秒</t>
  </si>
  <si>
    <t>36.112.3.250(北京-北京)</t>
  </si>
  <si>
    <t>2024/9/12 15:43:48</t>
  </si>
  <si>
    <t>256秒</t>
  </si>
  <si>
    <t>114.246.236.196(北京-北京)</t>
  </si>
  <si>
    <t>2024/9/12 15:45:16</t>
  </si>
  <si>
    <t>205秒</t>
  </si>
  <si>
    <t>36.112.3.111(北京-北京)</t>
  </si>
  <si>
    <t>2024/9/12 15:45:51</t>
  </si>
  <si>
    <t>340秒</t>
  </si>
  <si>
    <t>四川-成都</t>
  </si>
  <si>
    <t>2024/9/12 15:46:14</t>
  </si>
  <si>
    <t>115秒</t>
  </si>
  <si>
    <t>59.172.176.246(湖北-武汉)</t>
  </si>
  <si>
    <t>江苏-南通</t>
  </si>
  <si>
    <t>2024/9/12 15:49:14</t>
  </si>
  <si>
    <t>258秒</t>
  </si>
  <si>
    <t>39.144.155.92(江苏-南通)</t>
  </si>
  <si>
    <t>2024/9/12 15:50:37</t>
  </si>
  <si>
    <t>36秒</t>
  </si>
  <si>
    <t>39.148.6.121(河南-信阳)</t>
  </si>
  <si>
    <t>北京-东城区</t>
  </si>
  <si>
    <t>2024/9/12 15:53:02</t>
  </si>
  <si>
    <t>94秒</t>
  </si>
  <si>
    <t>120.245.114.168(北京-北京)</t>
  </si>
  <si>
    <t>2024/9/12 15:53:05</t>
  </si>
  <si>
    <t>35秒</t>
  </si>
  <si>
    <t>61.242.129.249(湖北-武汉)</t>
  </si>
  <si>
    <t>2024/9/12 15:55:06</t>
  </si>
  <si>
    <t>89秒</t>
  </si>
  <si>
    <t>219.142.238.19(北京-北京)</t>
  </si>
  <si>
    <t>2024/9/12 16:00:38</t>
  </si>
  <si>
    <t>42秒</t>
  </si>
  <si>
    <t>36.112.3.43(北京-北京)</t>
  </si>
  <si>
    <t>湖南-长沙</t>
  </si>
  <si>
    <t>2024/9/12 16:03:52</t>
  </si>
  <si>
    <t>768秒</t>
  </si>
  <si>
    <t>218.76.24.130(湖南-长沙)</t>
  </si>
  <si>
    <t>2024/9/12 16:26:13</t>
  </si>
  <si>
    <t>146秒</t>
  </si>
  <si>
    <t>39.144.177.84(河南-郑州)</t>
  </si>
  <si>
    <t>2024/9/12 16:31:48</t>
  </si>
  <si>
    <t>177秒</t>
  </si>
  <si>
    <t>117.136.2.226(河北-承德)</t>
  </si>
  <si>
    <t>2024/9/12 16:58:12</t>
  </si>
  <si>
    <t>101秒</t>
  </si>
  <si>
    <t>223.104.41.236(北京-北京)</t>
  </si>
  <si>
    <t>北京-石景山区</t>
  </si>
  <si>
    <t>2024/9/12 17:21:44</t>
  </si>
  <si>
    <t>72秒</t>
  </si>
  <si>
    <t>36.112.3.59(北京-北京)</t>
  </si>
  <si>
    <t>2024/9/12 17:48:34</t>
  </si>
  <si>
    <t>152秒</t>
  </si>
  <si>
    <t>59.172.176.129(湖北-武汉)</t>
  </si>
  <si>
    <t>2024/9/12 18:13:20</t>
  </si>
  <si>
    <t>161秒</t>
  </si>
  <si>
    <t>36.112.3.160(北京-北京)</t>
  </si>
  <si>
    <t>2024/9/12 18:22:00</t>
  </si>
  <si>
    <t>124秒</t>
  </si>
  <si>
    <t>120.244.199.90(北京-北京)</t>
  </si>
  <si>
    <t>福建-泉州</t>
  </si>
  <si>
    <t>2024/9/12 18:37:11</t>
  </si>
  <si>
    <t>114秒</t>
  </si>
  <si>
    <t>59.60.13.244(福建-厦门)</t>
  </si>
  <si>
    <t>2024/9/12 18:59:35</t>
  </si>
  <si>
    <t>170秒</t>
  </si>
  <si>
    <t>59.172.176.31(湖北-武汉)</t>
  </si>
  <si>
    <t>2024/9/12 19:04:02</t>
  </si>
  <si>
    <t>59.172.176.209(湖北-武汉)</t>
  </si>
  <si>
    <t>2024/9/12 19:10:17</t>
  </si>
  <si>
    <t>186秒</t>
  </si>
  <si>
    <t>223.104.122.46(湖北-武汉)</t>
  </si>
  <si>
    <t>2024/9/12 19:23:08</t>
  </si>
  <si>
    <t>2874秒</t>
  </si>
  <si>
    <t>36.112.3.27(北京-北京)</t>
  </si>
  <si>
    <t>2024/9/12 21:21:13</t>
  </si>
  <si>
    <t>57秒</t>
  </si>
  <si>
    <t>115.85.252.29(甘肃-兰州)</t>
  </si>
  <si>
    <t>2024/9/12 21:25:35</t>
  </si>
  <si>
    <t>59.172.176.18(湖北-武汉)</t>
  </si>
  <si>
    <t>2024/9/12 21:39:57</t>
  </si>
  <si>
    <t>22秒</t>
  </si>
  <si>
    <t>223.104.40.52(北京-北京)</t>
  </si>
  <si>
    <t>2024/9/12 22:27:18</t>
  </si>
  <si>
    <t>176秒</t>
  </si>
  <si>
    <t>39.187.215.124(浙江-金华)</t>
  </si>
  <si>
    <t>2024/9/12 23:53:07</t>
  </si>
  <si>
    <t>86秒</t>
  </si>
  <si>
    <t>59.172.176.104(湖北-武汉)</t>
  </si>
  <si>
    <t>2024/9/13 10:06:31</t>
  </si>
  <si>
    <t>171.10.122.123(河南-郑州)</t>
  </si>
  <si>
    <t>2024/9/13 10:16:21</t>
  </si>
  <si>
    <t>113秒</t>
  </si>
  <si>
    <t>223.104.122.74(湖北-武汉)</t>
  </si>
  <si>
    <t>河南-郑州</t>
  </si>
  <si>
    <t>2024/9/13 10:16:24</t>
  </si>
  <si>
    <t>238秒</t>
  </si>
  <si>
    <t>123.52.25.213(河南-郑州)</t>
  </si>
  <si>
    <t>上海-宝山区</t>
  </si>
  <si>
    <t>2024/9/13 10:22:23</t>
  </si>
  <si>
    <t>81秒</t>
  </si>
  <si>
    <t>101.82.177.249(上海-上海)</t>
  </si>
  <si>
    <t>2024/9/13 10:22:36</t>
  </si>
  <si>
    <t>122秒</t>
  </si>
  <si>
    <t>61.242.130.112(湖北-武汉)</t>
  </si>
  <si>
    <t>陕西-西安</t>
  </si>
  <si>
    <t>2024/9/13 10:27:25</t>
  </si>
  <si>
    <t>187秒</t>
  </si>
  <si>
    <t>222.91.198.12(陕西-西安)</t>
  </si>
  <si>
    <t>2024/9/13 10:30:15</t>
  </si>
  <si>
    <t>223.96.234.96(山东-菏泽)</t>
  </si>
  <si>
    <t>2024/9/13 10:32:10</t>
  </si>
  <si>
    <t>2024/9/13 10:34:53</t>
  </si>
  <si>
    <t>229秒</t>
  </si>
  <si>
    <t>111.183.32.222(湖北-武汉)</t>
  </si>
  <si>
    <t>2024/9/13 10:35:54</t>
  </si>
  <si>
    <t>53秒</t>
  </si>
  <si>
    <t>111.205.233.55(北京-北京)</t>
  </si>
  <si>
    <t>2024/9/13 10:36:27</t>
  </si>
  <si>
    <t>33秒</t>
  </si>
  <si>
    <t>2024/9/13 10:37:22</t>
  </si>
  <si>
    <t>122.206.190.16(河南-郑州)</t>
  </si>
  <si>
    <t>2024/9/13 10:42:39</t>
  </si>
  <si>
    <t>69秒</t>
  </si>
  <si>
    <t>123.52.8.224(河南-郑州)</t>
  </si>
  <si>
    <t>202.110.134.238(湖北-武汉)</t>
  </si>
  <si>
    <t>2024/9/13 10:43:06</t>
  </si>
  <si>
    <t>103秒</t>
  </si>
  <si>
    <t>120.216.173.4(河南-鹤壁)</t>
  </si>
  <si>
    <t>2024/9/13 10:56:29</t>
  </si>
  <si>
    <t>39秒</t>
  </si>
  <si>
    <t>117.136.89.151(湖南-郴州)</t>
  </si>
  <si>
    <t>2024/9/13 11:03:06</t>
  </si>
  <si>
    <t>202秒</t>
  </si>
  <si>
    <t>36.112.3.13(北京-北京)</t>
  </si>
  <si>
    <t>2024/9/13 11:10:01</t>
  </si>
  <si>
    <t>466秒</t>
  </si>
  <si>
    <t>223.90.29.89(河南-焦作)</t>
  </si>
  <si>
    <t>2024/9/13 11:16:36</t>
  </si>
  <si>
    <t>75秒</t>
  </si>
  <si>
    <t>223.104.122.127(湖北-武汉)</t>
  </si>
  <si>
    <t>北京-朝阳区</t>
  </si>
  <si>
    <t>2024/9/13 11:20:06</t>
  </si>
  <si>
    <t>67秒</t>
  </si>
  <si>
    <t>2024/9/13 11:30:10</t>
  </si>
  <si>
    <t>43秒</t>
  </si>
  <si>
    <t>223.160.117.55(湖北-武汉)</t>
  </si>
  <si>
    <t>2024/9/13 11:30:12</t>
  </si>
  <si>
    <t>181秒</t>
  </si>
  <si>
    <t>58.247.23.34(上海-上海)</t>
  </si>
  <si>
    <t>2024/9/13 11:39:30</t>
  </si>
  <si>
    <t>199秒</t>
  </si>
  <si>
    <t>219.157.128.206(河南-郑州)</t>
  </si>
  <si>
    <t>山西-长治</t>
  </si>
  <si>
    <t>2024/9/13 11:53:50</t>
  </si>
  <si>
    <t>180秒</t>
  </si>
  <si>
    <t>222.136.21.74(河南-焦作)</t>
  </si>
  <si>
    <t>2024/9/13 12:09:43</t>
  </si>
  <si>
    <t>61.242.134.163(湖北-武汉)</t>
  </si>
  <si>
    <t>2024/9/13 15:32:26</t>
  </si>
  <si>
    <t>77秒</t>
  </si>
  <si>
    <t>182.118.239.252(河南-郑州)</t>
  </si>
  <si>
    <t>2024/9/13 15:44:51</t>
  </si>
  <si>
    <t>244秒</t>
  </si>
  <si>
    <t>218.28.126.90(河南-焦作)</t>
  </si>
  <si>
    <t>2024/9/13 16:05:47</t>
  </si>
  <si>
    <t>48秒</t>
  </si>
  <si>
    <t>39.144.26.105(河南-许昌)</t>
  </si>
  <si>
    <t>内蒙古-包头</t>
  </si>
  <si>
    <t>2024/9/13 16:06:18</t>
  </si>
  <si>
    <t>23秒</t>
  </si>
  <si>
    <t>2024/9/13 16:23:24</t>
  </si>
  <si>
    <t>218.28.11.252(河南-郑州)</t>
  </si>
  <si>
    <t>2024/9/13 17:16:55</t>
  </si>
  <si>
    <t>283秒</t>
  </si>
  <si>
    <t>39.144.24.122(河南-南阳)</t>
  </si>
  <si>
    <t>2024/9/13 18:21:55</t>
  </si>
  <si>
    <t>122.206.190.92(河南-郑州)</t>
  </si>
  <si>
    <t>河南-三门峡</t>
  </si>
  <si>
    <t>2024/9/14 8:26:12</t>
  </si>
  <si>
    <t>246秒</t>
  </si>
  <si>
    <t>183.172.62.74(北京-北京)</t>
  </si>
  <si>
    <t>2024/9/14 10:51:23</t>
  </si>
  <si>
    <t>68秒</t>
  </si>
  <si>
    <t>182.118.232.62(河南-郑州)</t>
  </si>
  <si>
    <t>2024/9/14 16:51:27</t>
  </si>
  <si>
    <t>127秒</t>
  </si>
  <si>
    <t>218.199.207.5(湖北-武汉)</t>
  </si>
  <si>
    <t>2024/9/14 16:53:02</t>
  </si>
  <si>
    <t>142秒</t>
  </si>
  <si>
    <t>117.151.29.21(湖北-武汉)</t>
  </si>
  <si>
    <t>2024/9/14 16:57:07</t>
  </si>
  <si>
    <t>78秒</t>
  </si>
  <si>
    <t>218.199.207.88(湖北-武汉)</t>
  </si>
  <si>
    <t>江西-赣州</t>
  </si>
  <si>
    <t>2024/9/14 16:58:39</t>
  </si>
  <si>
    <t>155秒</t>
  </si>
  <si>
    <t>106.7.84.184(江西-赣州)</t>
  </si>
  <si>
    <t>2024/9/14 16:59:00</t>
  </si>
  <si>
    <t>128秒</t>
  </si>
  <si>
    <t>183.95.62.82(湖北-武汉)</t>
  </si>
  <si>
    <t>山东-青岛</t>
  </si>
  <si>
    <t>2024/9/14 16:59:58</t>
  </si>
  <si>
    <t>102秒</t>
  </si>
  <si>
    <t>222.173.86.6(山东-青岛)</t>
  </si>
  <si>
    <t>2024/9/14 17:00:19</t>
  </si>
  <si>
    <t>38秒</t>
  </si>
  <si>
    <t>111.181.6.29(湖北-鄂州)</t>
  </si>
  <si>
    <t>2024/9/14 17:00:20</t>
  </si>
  <si>
    <t>158秒</t>
  </si>
  <si>
    <t>61.242.134.137(湖北-武汉)</t>
  </si>
  <si>
    <t>2024/9/14 17:00:38</t>
  </si>
  <si>
    <t>123秒</t>
  </si>
  <si>
    <t>218.56.174.4(山东-东营)</t>
  </si>
  <si>
    <t>2024/9/14 17:00:52</t>
  </si>
  <si>
    <t>65秒</t>
  </si>
  <si>
    <t>2024/9/14 17:02:13</t>
  </si>
  <si>
    <t>66秒</t>
  </si>
  <si>
    <t>223.104.124.228(湖北-襄阳)</t>
  </si>
  <si>
    <t>福建-福州</t>
  </si>
  <si>
    <t>2024/9/14 17:03:51</t>
  </si>
  <si>
    <t>197秒</t>
  </si>
  <si>
    <t>112.49.130.224(福建-福州)</t>
  </si>
  <si>
    <t>2024/9/14 17:03:54</t>
  </si>
  <si>
    <t>163秒</t>
  </si>
  <si>
    <t>111.183.68.33(湖北-黄冈)</t>
  </si>
  <si>
    <t>2024/9/14 17:06:51</t>
  </si>
  <si>
    <t>157秒</t>
  </si>
  <si>
    <t>111.183.63.55(湖北-黄冈)</t>
  </si>
  <si>
    <t>浙江-杭州</t>
  </si>
  <si>
    <t>2024/9/14 17:08:52</t>
  </si>
  <si>
    <t>41秒</t>
  </si>
  <si>
    <t>120.199.32.90(浙江-杭州)</t>
  </si>
  <si>
    <t>2024/9/14 17:09:09</t>
  </si>
  <si>
    <t>58.59.29.18(山东-济南)</t>
  </si>
  <si>
    <t>2024/9/14 17:09:28</t>
  </si>
  <si>
    <t>218.199.207.98(湖北-武汉)</t>
  </si>
  <si>
    <t>2024/9/14 17:10:25</t>
  </si>
  <si>
    <t>133秒</t>
  </si>
  <si>
    <t>223.104.119.75(湖北-咸宁)</t>
  </si>
  <si>
    <t>2024/9/14 17:10:51</t>
  </si>
  <si>
    <t>45秒</t>
  </si>
  <si>
    <t>111.183.29.223(湖北-武汉)</t>
  </si>
  <si>
    <t>2024/9/14 17:19:06</t>
  </si>
  <si>
    <t>83秒</t>
  </si>
  <si>
    <t>61.242.135.179(湖北-武汉)</t>
  </si>
  <si>
    <t>2024/9/14 17:23:09</t>
  </si>
  <si>
    <t>218.199.207.18(湖北-武汉)</t>
  </si>
  <si>
    <t>2024/9/15 10:55:53</t>
  </si>
  <si>
    <t>162秒</t>
  </si>
  <si>
    <t>手机提交</t>
  </si>
  <si>
    <t>直接访问</t>
  </si>
  <si>
    <t>218.199.207.61(湖北-武汉)</t>
  </si>
  <si>
    <t>2024/9/15 10:56:27</t>
  </si>
  <si>
    <t>188秒</t>
  </si>
  <si>
    <t>117.151.25.78(湖北-武汉)</t>
  </si>
  <si>
    <t>2024/9/15 10:56:44</t>
  </si>
  <si>
    <t>183.95.249.229(湖北-武汉)</t>
  </si>
  <si>
    <t>2024/9/15 10:58:14</t>
  </si>
  <si>
    <t>261秒</t>
  </si>
  <si>
    <t>218.199.207.68(湖北-武汉)</t>
  </si>
  <si>
    <t>2024/9/15 13:02:46</t>
  </si>
  <si>
    <t>204秒</t>
  </si>
  <si>
    <t>111.183.7.58(湖北-武汉)</t>
  </si>
  <si>
    <t>2024/9/15 13:14:48</t>
  </si>
  <si>
    <t>129秒</t>
  </si>
  <si>
    <t>61.242.130.54(湖北-武汉)</t>
  </si>
  <si>
    <t>2、观看视频后，请根据您目前的感受对下列内容的重要性进行打分：—公平、正义、多样性</t>
  </si>
  <si>
    <t>保守欧</t>
  </si>
  <si>
    <r>
      <rPr>
        <sz val="10"/>
        <color theme="1"/>
        <rFont val="Arial"/>
        <charset val="134"/>
      </rPr>
      <t>13</t>
    </r>
    <r>
      <rPr>
        <sz val="10"/>
        <color theme="1"/>
        <rFont val="宋体"/>
        <charset val="134"/>
      </rPr>
      <t>份无效数据</t>
    </r>
  </si>
  <si>
    <r>
      <rPr>
        <sz val="10"/>
        <color theme="1"/>
        <rFont val="Arial"/>
        <charset val="134"/>
      </rPr>
      <t>70</t>
    </r>
    <r>
      <rPr>
        <sz val="10"/>
        <color theme="1"/>
        <rFont val="宋体"/>
        <charset val="134"/>
      </rPr>
      <t>个选一个价值观的</t>
    </r>
  </si>
  <si>
    <r>
      <rPr>
        <sz val="10"/>
        <color theme="1"/>
        <rFont val="Arial"/>
        <charset val="134"/>
      </rPr>
      <t>22</t>
    </r>
    <r>
      <rPr>
        <sz val="10"/>
        <color theme="1"/>
        <rFont val="宋体"/>
        <charset val="134"/>
      </rPr>
      <t>个选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个价值观的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</si>
  <si>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个选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个价值观的</t>
    </r>
  </si>
  <si>
    <t>类型</t>
  </si>
  <si>
    <t>问卷数量</t>
  </si>
  <si>
    <t>占比</t>
  </si>
  <si>
    <t>每个价值观的权重分配</t>
  </si>
  <si>
    <t>一个价值观得分最高</t>
  </si>
  <si>
    <t>两个</t>
  </si>
  <si>
    <t>三个</t>
  </si>
  <si>
    <t>四个</t>
  </si>
  <si>
    <t>Number</t>
  </si>
  <si>
    <t>Question</t>
  </si>
  <si>
    <t>Equality, justice, diversity</t>
  </si>
  <si>
    <t>Success, competence and being admired</t>
  </si>
  <si>
    <t>helpfulness, loyalty, welfare of one's close social circle</t>
  </si>
  <si>
    <t>Material wealth and control over others</t>
  </si>
  <si>
    <t>Originality, creativity and independent thought</t>
  </si>
  <si>
    <t>Safety and social order</t>
  </si>
  <si>
    <t>Novelty and excitement</t>
  </si>
  <si>
    <t>Obedience and social norms</t>
  </si>
  <si>
    <t>Enjoyment and pleasure</t>
  </si>
  <si>
    <t>Humbleness, acceptance of one's place in life and religion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</si>
</sst>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0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49"/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0" fontId="3" fillId="0" borderId="0" xfId="49" applyFont="1"/>
    <xf numFmtId="0" fontId="0" fillId="2" borderId="0" xfId="49" applyFill="1" applyAlignment="1">
      <alignment horizontal="center"/>
    </xf>
    <xf numFmtId="0" fontId="0" fillId="0" borderId="0" xfId="49" applyFont="1"/>
    <xf numFmtId="176" fontId="0" fillId="0" borderId="0" xfId="49" applyNumberFormat="1"/>
    <xf numFmtId="0" fontId="0" fillId="0" borderId="0" xfId="49" applyAlignment="1">
      <alignment horizontal="center"/>
    </xf>
    <xf numFmtId="0" fontId="0" fillId="3" borderId="0" xfId="49" applyFill="1" applyAlignment="1">
      <alignment horizontal="center"/>
    </xf>
    <xf numFmtId="0" fontId="0" fillId="4" borderId="0" xfId="49" applyFill="1" applyAlignment="1">
      <alignment horizontal="center"/>
    </xf>
    <xf numFmtId="0" fontId="0" fillId="4" borderId="0" xfId="49" applyFill="1"/>
    <xf numFmtId="0" fontId="0" fillId="0" borderId="0" xfId="49" applyAlignment="1">
      <alignment horizontal="center" vertical="center" wrapText="1"/>
    </xf>
    <xf numFmtId="0" fontId="3" fillId="3" borderId="0" xfId="49" applyFont="1" applyFill="1" applyAlignment="1">
      <alignment horizontal="center"/>
    </xf>
    <xf numFmtId="0" fontId="3" fillId="4" borderId="0" xfId="49" applyFont="1" applyFill="1" applyAlignment="1">
      <alignment horizontal="center"/>
    </xf>
    <xf numFmtId="0" fontId="0" fillId="3" borderId="0" xfId="49" applyFill="1" applyAlignment="1">
      <alignment horizontal="center" vertical="center" wrapText="1"/>
    </xf>
    <xf numFmtId="0" fontId="0" fillId="4" borderId="0" xfId="49" applyFill="1" applyAlignment="1">
      <alignment horizontal="center" vertical="center" wrapText="1"/>
    </xf>
    <xf numFmtId="0" fontId="3" fillId="0" borderId="0" xfId="49" applyFont="1" applyAlignment="1">
      <alignment horizontal="center"/>
    </xf>
    <xf numFmtId="0" fontId="0" fillId="0" borderId="0" xfId="49" applyFont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1"/>
  <sheetViews>
    <sheetView topLeftCell="I1" workbookViewId="0">
      <selection activeCell="X2" sqref="N2:O2 Q2:S2 U2:V2 X2:Z2"/>
    </sheetView>
  </sheetViews>
  <sheetFormatPr defaultColWidth="9" defaultRowHeight="12.5"/>
  <cols>
    <col min="1" max="5" width="4.27272727272727" style="8" customWidth="1"/>
    <col min="7" max="7" width="4.28181818181818" customWidth="1"/>
    <col min="8" max="8" width="17.1454545454545" customWidth="1"/>
    <col min="9" max="11" width="8.71818181818182" customWidth="1"/>
    <col min="12" max="12" width="24.1454545454545" customWidth="1"/>
    <col min="13" max="13" width="4.27272727272727" style="8" customWidth="1"/>
    <col min="14" max="26" width="11.3636363636364" style="8" customWidth="1"/>
    <col min="27" max="27" width="12.8181818181818"/>
  </cols>
  <sheetData>
    <row r="1" ht="13" spans="14:26">
      <c r="N1" s="17" t="s">
        <v>0</v>
      </c>
      <c r="O1" s="17" t="s">
        <v>0</v>
      </c>
      <c r="P1" s="17"/>
      <c r="Q1" s="17" t="s">
        <v>1</v>
      </c>
      <c r="R1" s="17" t="s">
        <v>1</v>
      </c>
      <c r="S1" s="17" t="s">
        <v>1</v>
      </c>
      <c r="T1" s="17"/>
      <c r="U1" s="17" t="s">
        <v>2</v>
      </c>
      <c r="V1" s="17" t="s">
        <v>2</v>
      </c>
      <c r="W1" s="17"/>
      <c r="X1" s="17" t="s">
        <v>3</v>
      </c>
      <c r="Y1" s="17" t="s">
        <v>3</v>
      </c>
      <c r="Z1" s="17" t="s">
        <v>3</v>
      </c>
    </row>
    <row r="2" s="12" customFormat="1" ht="109" customHeight="1" spans="1:26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8" t="s">
        <v>16</v>
      </c>
      <c r="O2" s="12" t="s">
        <v>17</v>
      </c>
      <c r="Q2" s="12" t="s">
        <v>18</v>
      </c>
      <c r="R2" s="12" t="s">
        <v>19</v>
      </c>
      <c r="S2" s="12" t="s">
        <v>20</v>
      </c>
      <c r="U2" s="12" t="s">
        <v>21</v>
      </c>
      <c r="V2" s="12" t="s">
        <v>22</v>
      </c>
      <c r="X2" s="12" t="s">
        <v>23</v>
      </c>
      <c r="Y2" s="12" t="s">
        <v>24</v>
      </c>
      <c r="Z2" s="12" t="s">
        <v>25</v>
      </c>
    </row>
    <row r="3" spans="1:27">
      <c r="A3" s="8">
        <v>2</v>
      </c>
      <c r="B3" s="8">
        <v>2</v>
      </c>
      <c r="C3" s="8">
        <v>3</v>
      </c>
      <c r="D3" s="8" t="s">
        <v>26</v>
      </c>
      <c r="E3" s="8">
        <v>2</v>
      </c>
      <c r="G3">
        <v>2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s="8">
        <v>3</v>
      </c>
      <c r="N3" s="8">
        <v>2</v>
      </c>
      <c r="O3" s="8">
        <v>3</v>
      </c>
      <c r="Q3" s="8">
        <v>3</v>
      </c>
      <c r="R3" s="8">
        <v>3</v>
      </c>
      <c r="S3" s="8">
        <v>2</v>
      </c>
      <c r="U3" s="8">
        <v>2</v>
      </c>
      <c r="V3" s="8">
        <v>2</v>
      </c>
      <c r="X3" s="8">
        <v>3</v>
      </c>
      <c r="Y3" s="8">
        <v>3</v>
      </c>
      <c r="Z3" s="8">
        <v>2</v>
      </c>
      <c r="AA3">
        <f>(X3+Y3+Z3)/3</f>
        <v>2.66666666666667</v>
      </c>
    </row>
    <row r="4" spans="1:27">
      <c r="A4" s="8">
        <v>2</v>
      </c>
      <c r="B4" s="8">
        <v>2</v>
      </c>
      <c r="C4" s="8">
        <v>2</v>
      </c>
      <c r="D4" s="8" t="s">
        <v>32</v>
      </c>
      <c r="E4" s="8">
        <v>1</v>
      </c>
      <c r="G4">
        <v>3</v>
      </c>
      <c r="H4" t="s">
        <v>33</v>
      </c>
      <c r="I4" t="s">
        <v>34</v>
      </c>
      <c r="J4" t="s">
        <v>29</v>
      </c>
      <c r="K4" t="s">
        <v>30</v>
      </c>
      <c r="L4" t="s">
        <v>35</v>
      </c>
      <c r="M4" s="8">
        <v>1</v>
      </c>
      <c r="N4" s="8">
        <v>2</v>
      </c>
      <c r="O4" s="8">
        <v>3</v>
      </c>
      <c r="Q4" s="8">
        <v>3</v>
      </c>
      <c r="R4" s="8">
        <v>3</v>
      </c>
      <c r="S4" s="8">
        <v>2</v>
      </c>
      <c r="U4" s="8">
        <v>3</v>
      </c>
      <c r="V4" s="8">
        <v>3</v>
      </c>
      <c r="X4" s="8">
        <v>2</v>
      </c>
      <c r="Y4" s="8">
        <v>3</v>
      </c>
      <c r="Z4" s="8">
        <v>3</v>
      </c>
      <c r="AA4">
        <f t="shared" ref="AA4:AA35" si="0">(X4+Y4+Z4)/3</f>
        <v>2.66666666666667</v>
      </c>
    </row>
    <row r="5" spans="1:27">
      <c r="A5" s="8">
        <v>2</v>
      </c>
      <c r="B5" s="8">
        <v>2</v>
      </c>
      <c r="C5" s="8">
        <v>3</v>
      </c>
      <c r="D5" s="8" t="s">
        <v>26</v>
      </c>
      <c r="E5" s="8">
        <v>1</v>
      </c>
      <c r="G5">
        <v>4</v>
      </c>
      <c r="H5" t="s">
        <v>36</v>
      </c>
      <c r="I5" t="s">
        <v>37</v>
      </c>
      <c r="J5" t="s">
        <v>29</v>
      </c>
      <c r="K5" t="s">
        <v>30</v>
      </c>
      <c r="L5" t="s">
        <v>38</v>
      </c>
      <c r="M5" s="8">
        <v>4</v>
      </c>
      <c r="N5" s="8">
        <v>2</v>
      </c>
      <c r="O5" s="8">
        <v>2</v>
      </c>
      <c r="Q5" s="8">
        <v>3</v>
      </c>
      <c r="R5" s="8">
        <v>4</v>
      </c>
      <c r="S5" s="8">
        <v>2</v>
      </c>
      <c r="U5" s="8">
        <v>3</v>
      </c>
      <c r="V5" s="8">
        <v>4</v>
      </c>
      <c r="X5" s="8">
        <v>3</v>
      </c>
      <c r="Y5" s="8">
        <v>3</v>
      </c>
      <c r="Z5" s="8">
        <v>3</v>
      </c>
      <c r="AA5">
        <f t="shared" si="0"/>
        <v>3</v>
      </c>
    </row>
    <row r="6" spans="1:27">
      <c r="A6" s="8">
        <v>2</v>
      </c>
      <c r="B6" s="8">
        <v>2</v>
      </c>
      <c r="C6" s="8">
        <v>3</v>
      </c>
      <c r="D6" s="8" t="s">
        <v>39</v>
      </c>
      <c r="E6" s="8">
        <v>2</v>
      </c>
      <c r="G6">
        <v>5</v>
      </c>
      <c r="H6" t="s">
        <v>40</v>
      </c>
      <c r="I6" t="s">
        <v>41</v>
      </c>
      <c r="J6" t="s">
        <v>29</v>
      </c>
      <c r="K6" t="s">
        <v>30</v>
      </c>
      <c r="L6" t="s">
        <v>42</v>
      </c>
      <c r="M6" s="8">
        <v>2</v>
      </c>
      <c r="N6" s="8">
        <v>2</v>
      </c>
      <c r="O6" s="8">
        <v>2</v>
      </c>
      <c r="Q6" s="8">
        <v>2</v>
      </c>
      <c r="R6" s="8">
        <v>2</v>
      </c>
      <c r="S6" s="8">
        <v>2</v>
      </c>
      <c r="U6" s="8">
        <v>2</v>
      </c>
      <c r="V6" s="8">
        <v>2</v>
      </c>
      <c r="X6" s="8">
        <v>2</v>
      </c>
      <c r="Y6" s="8">
        <v>2</v>
      </c>
      <c r="Z6" s="8">
        <v>2</v>
      </c>
      <c r="AA6">
        <f t="shared" si="0"/>
        <v>2</v>
      </c>
    </row>
    <row r="7" spans="1:27">
      <c r="A7" s="8">
        <v>2</v>
      </c>
      <c r="B7" s="8">
        <v>2</v>
      </c>
      <c r="C7" s="8">
        <v>3</v>
      </c>
      <c r="D7" s="8" t="s">
        <v>26</v>
      </c>
      <c r="E7" s="8">
        <v>1</v>
      </c>
      <c r="G7">
        <v>6</v>
      </c>
      <c r="H7" t="s">
        <v>43</v>
      </c>
      <c r="I7" t="s">
        <v>44</v>
      </c>
      <c r="J7" t="s">
        <v>29</v>
      </c>
      <c r="K7" t="s">
        <v>30</v>
      </c>
      <c r="L7" t="s">
        <v>45</v>
      </c>
      <c r="M7" s="8">
        <v>1</v>
      </c>
      <c r="N7" s="8">
        <v>3</v>
      </c>
      <c r="O7" s="8">
        <v>4</v>
      </c>
      <c r="Q7" s="8">
        <v>4</v>
      </c>
      <c r="R7" s="8">
        <v>3</v>
      </c>
      <c r="S7" s="8">
        <v>3</v>
      </c>
      <c r="U7" s="8">
        <v>3</v>
      </c>
      <c r="V7" s="8">
        <v>3</v>
      </c>
      <c r="X7" s="8">
        <v>4</v>
      </c>
      <c r="Y7" s="8">
        <v>4</v>
      </c>
      <c r="Z7" s="8">
        <v>4</v>
      </c>
      <c r="AA7">
        <f t="shared" si="0"/>
        <v>4</v>
      </c>
    </row>
    <row r="8" spans="1:27">
      <c r="A8" s="8">
        <v>2</v>
      </c>
      <c r="B8" s="8">
        <v>3</v>
      </c>
      <c r="C8" s="8">
        <v>3</v>
      </c>
      <c r="D8" s="8" t="s">
        <v>26</v>
      </c>
      <c r="E8" s="8">
        <v>1</v>
      </c>
      <c r="G8">
        <v>7</v>
      </c>
      <c r="H8" t="s">
        <v>46</v>
      </c>
      <c r="I8" t="s">
        <v>47</v>
      </c>
      <c r="J8" t="s">
        <v>29</v>
      </c>
      <c r="K8" t="s">
        <v>30</v>
      </c>
      <c r="L8" t="s">
        <v>48</v>
      </c>
      <c r="M8" s="8">
        <v>1</v>
      </c>
      <c r="N8" s="8">
        <v>3</v>
      </c>
      <c r="O8" s="8">
        <v>3</v>
      </c>
      <c r="Q8" s="8">
        <v>3</v>
      </c>
      <c r="R8" s="8">
        <v>2</v>
      </c>
      <c r="S8" s="8">
        <v>3</v>
      </c>
      <c r="U8" s="8">
        <v>3</v>
      </c>
      <c r="V8" s="8">
        <v>2</v>
      </c>
      <c r="X8" s="8">
        <v>3</v>
      </c>
      <c r="Y8" s="8">
        <v>2</v>
      </c>
      <c r="Z8" s="8">
        <v>2</v>
      </c>
      <c r="AA8">
        <f t="shared" si="0"/>
        <v>2.33333333333333</v>
      </c>
    </row>
    <row r="9" spans="1:27">
      <c r="A9" s="8">
        <v>2</v>
      </c>
      <c r="B9" s="8">
        <v>2</v>
      </c>
      <c r="C9" s="8">
        <v>3</v>
      </c>
      <c r="D9" s="8" t="s">
        <v>26</v>
      </c>
      <c r="E9" s="8">
        <v>2</v>
      </c>
      <c r="G9">
        <v>8</v>
      </c>
      <c r="H9" t="s">
        <v>49</v>
      </c>
      <c r="I9" t="s">
        <v>50</v>
      </c>
      <c r="J9" t="s">
        <v>29</v>
      </c>
      <c r="K9" t="s">
        <v>30</v>
      </c>
      <c r="L9" t="s">
        <v>51</v>
      </c>
      <c r="M9" s="8">
        <v>2</v>
      </c>
      <c r="N9" s="8">
        <v>3</v>
      </c>
      <c r="O9" s="8">
        <v>3</v>
      </c>
      <c r="Q9" s="8">
        <v>3</v>
      </c>
      <c r="R9" s="8">
        <v>3</v>
      </c>
      <c r="S9" s="8">
        <v>3</v>
      </c>
      <c r="U9" s="8">
        <v>3</v>
      </c>
      <c r="V9" s="8">
        <v>3</v>
      </c>
      <c r="X9" s="8">
        <v>3</v>
      </c>
      <c r="Y9" s="8">
        <v>3</v>
      </c>
      <c r="Z9" s="8">
        <v>3</v>
      </c>
      <c r="AA9">
        <f t="shared" si="0"/>
        <v>3</v>
      </c>
    </row>
    <row r="10" spans="1:27">
      <c r="A10" s="8">
        <v>2</v>
      </c>
      <c r="B10" s="8">
        <v>2</v>
      </c>
      <c r="C10" s="8">
        <v>2</v>
      </c>
      <c r="D10" s="8" t="s">
        <v>52</v>
      </c>
      <c r="E10" s="8">
        <v>2</v>
      </c>
      <c r="G10">
        <v>9</v>
      </c>
      <c r="H10" t="s">
        <v>53</v>
      </c>
      <c r="I10" t="s">
        <v>54</v>
      </c>
      <c r="J10" t="s">
        <v>29</v>
      </c>
      <c r="K10" t="s">
        <v>30</v>
      </c>
      <c r="L10" t="s">
        <v>55</v>
      </c>
      <c r="M10" s="8">
        <v>4</v>
      </c>
      <c r="N10" s="8">
        <v>3</v>
      </c>
      <c r="O10" s="8">
        <v>3</v>
      </c>
      <c r="Q10" s="8">
        <v>3</v>
      </c>
      <c r="R10" s="8">
        <v>3</v>
      </c>
      <c r="S10" s="8">
        <v>2</v>
      </c>
      <c r="U10" s="8">
        <v>3</v>
      </c>
      <c r="V10" s="8">
        <v>2</v>
      </c>
      <c r="X10" s="8">
        <v>3</v>
      </c>
      <c r="Y10" s="8">
        <v>2</v>
      </c>
      <c r="Z10" s="8">
        <v>3</v>
      </c>
      <c r="AA10">
        <f t="shared" si="0"/>
        <v>2.66666666666667</v>
      </c>
    </row>
    <row r="11" spans="1:27">
      <c r="A11" s="8">
        <v>2</v>
      </c>
      <c r="B11" s="8">
        <v>2</v>
      </c>
      <c r="C11" s="8">
        <v>4</v>
      </c>
      <c r="D11" s="8" t="s">
        <v>26</v>
      </c>
      <c r="E11" s="8">
        <v>1</v>
      </c>
      <c r="G11">
        <v>10</v>
      </c>
      <c r="H11" t="s">
        <v>56</v>
      </c>
      <c r="I11" t="s">
        <v>37</v>
      </c>
      <c r="J11" t="s">
        <v>29</v>
      </c>
      <c r="K11" t="s">
        <v>30</v>
      </c>
      <c r="L11" t="s">
        <v>57</v>
      </c>
      <c r="M11" s="8">
        <v>4</v>
      </c>
      <c r="N11" s="8">
        <v>3</v>
      </c>
      <c r="O11" s="8">
        <v>3</v>
      </c>
      <c r="Q11" s="8">
        <v>4</v>
      </c>
      <c r="R11" s="8">
        <v>4</v>
      </c>
      <c r="S11" s="8">
        <v>2</v>
      </c>
      <c r="U11" s="8">
        <v>3</v>
      </c>
      <c r="V11" s="8">
        <v>2</v>
      </c>
      <c r="X11" s="8">
        <v>3</v>
      </c>
      <c r="Y11" s="8">
        <v>3</v>
      </c>
      <c r="Z11" s="8">
        <v>3</v>
      </c>
      <c r="AA11">
        <f t="shared" si="0"/>
        <v>3</v>
      </c>
    </row>
    <row r="12" spans="1:27">
      <c r="A12" s="8">
        <v>2</v>
      </c>
      <c r="B12" s="8">
        <v>2</v>
      </c>
      <c r="C12" s="8">
        <v>3</v>
      </c>
      <c r="D12" s="8" t="s">
        <v>26</v>
      </c>
      <c r="E12" s="8">
        <v>2</v>
      </c>
      <c r="G12">
        <v>11</v>
      </c>
      <c r="H12" t="s">
        <v>58</v>
      </c>
      <c r="I12" t="s">
        <v>59</v>
      </c>
      <c r="J12" t="s">
        <v>29</v>
      </c>
      <c r="K12" t="s">
        <v>30</v>
      </c>
      <c r="L12" t="s">
        <v>60</v>
      </c>
      <c r="M12" s="8">
        <v>2</v>
      </c>
      <c r="N12" s="8">
        <v>3</v>
      </c>
      <c r="O12" s="8">
        <v>3</v>
      </c>
      <c r="Q12" s="8">
        <v>3</v>
      </c>
      <c r="R12" s="8">
        <v>5</v>
      </c>
      <c r="S12" s="8">
        <v>5</v>
      </c>
      <c r="U12" s="8">
        <v>2</v>
      </c>
      <c r="V12" s="8">
        <v>2</v>
      </c>
      <c r="X12" s="8">
        <v>4</v>
      </c>
      <c r="Y12" s="8">
        <v>3</v>
      </c>
      <c r="Z12" s="8">
        <v>2</v>
      </c>
      <c r="AA12">
        <f t="shared" si="0"/>
        <v>3</v>
      </c>
    </row>
    <row r="13" spans="1:27">
      <c r="A13" s="8">
        <v>2</v>
      </c>
      <c r="B13" s="8">
        <v>2</v>
      </c>
      <c r="C13" s="8">
        <v>3</v>
      </c>
      <c r="D13" s="8" t="s">
        <v>26</v>
      </c>
      <c r="E13" s="8">
        <v>2</v>
      </c>
      <c r="G13">
        <v>12</v>
      </c>
      <c r="H13" t="s">
        <v>61</v>
      </c>
      <c r="I13" t="s">
        <v>62</v>
      </c>
      <c r="J13" t="s">
        <v>29</v>
      </c>
      <c r="K13" t="s">
        <v>30</v>
      </c>
      <c r="L13" t="s">
        <v>63</v>
      </c>
      <c r="M13" s="8">
        <v>1</v>
      </c>
      <c r="N13" s="8">
        <v>3</v>
      </c>
      <c r="O13" s="8">
        <v>3</v>
      </c>
      <c r="Q13" s="8">
        <v>3</v>
      </c>
      <c r="R13" s="8">
        <v>3</v>
      </c>
      <c r="S13" s="8">
        <v>3</v>
      </c>
      <c r="U13" s="8">
        <v>3</v>
      </c>
      <c r="V13" s="8">
        <v>3</v>
      </c>
      <c r="X13" s="8">
        <v>3</v>
      </c>
      <c r="Y13" s="8">
        <v>3</v>
      </c>
      <c r="Z13" s="8">
        <v>3</v>
      </c>
      <c r="AA13">
        <f t="shared" si="0"/>
        <v>3</v>
      </c>
    </row>
    <row r="14" spans="1:27">
      <c r="A14" s="8">
        <v>2</v>
      </c>
      <c r="B14" s="8">
        <v>2</v>
      </c>
      <c r="C14" s="8">
        <v>3</v>
      </c>
      <c r="D14" s="8" t="s">
        <v>64</v>
      </c>
      <c r="E14" s="8">
        <v>2</v>
      </c>
      <c r="G14">
        <v>13</v>
      </c>
      <c r="H14" t="s">
        <v>65</v>
      </c>
      <c r="I14" t="s">
        <v>66</v>
      </c>
      <c r="J14" t="s">
        <v>29</v>
      </c>
      <c r="K14" t="s">
        <v>30</v>
      </c>
      <c r="L14" t="s">
        <v>67</v>
      </c>
      <c r="M14" s="8">
        <v>4</v>
      </c>
      <c r="N14" s="8">
        <v>4</v>
      </c>
      <c r="O14" s="8">
        <v>3</v>
      </c>
      <c r="Q14" s="8">
        <v>3</v>
      </c>
      <c r="R14" s="8">
        <v>3</v>
      </c>
      <c r="S14" s="8">
        <v>2</v>
      </c>
      <c r="U14" s="8">
        <v>4</v>
      </c>
      <c r="V14" s="8">
        <v>2</v>
      </c>
      <c r="X14" s="8">
        <v>3</v>
      </c>
      <c r="Y14" s="8">
        <v>3</v>
      </c>
      <c r="Z14" s="8">
        <v>4</v>
      </c>
      <c r="AA14">
        <f t="shared" si="0"/>
        <v>3.33333333333333</v>
      </c>
    </row>
    <row r="15" spans="1:27">
      <c r="A15" s="8">
        <v>2</v>
      </c>
      <c r="B15" s="8">
        <v>2</v>
      </c>
      <c r="C15" s="8">
        <v>3</v>
      </c>
      <c r="D15" s="8" t="s">
        <v>26</v>
      </c>
      <c r="E15" s="8">
        <v>1</v>
      </c>
      <c r="G15">
        <v>14</v>
      </c>
      <c r="H15" t="s">
        <v>68</v>
      </c>
      <c r="I15" t="s">
        <v>69</v>
      </c>
      <c r="J15" t="s">
        <v>29</v>
      </c>
      <c r="K15" t="s">
        <v>30</v>
      </c>
      <c r="L15" t="s">
        <v>70</v>
      </c>
      <c r="M15" s="8">
        <v>2</v>
      </c>
      <c r="N15" s="8">
        <v>4</v>
      </c>
      <c r="O15" s="8">
        <v>4</v>
      </c>
      <c r="Q15" s="8">
        <v>4</v>
      </c>
      <c r="R15" s="8">
        <v>2</v>
      </c>
      <c r="S15" s="8">
        <v>3</v>
      </c>
      <c r="U15" s="8">
        <v>3</v>
      </c>
      <c r="V15" s="8">
        <v>3</v>
      </c>
      <c r="X15" s="8">
        <v>4</v>
      </c>
      <c r="Y15" s="8">
        <v>4</v>
      </c>
      <c r="Z15" s="8">
        <v>4</v>
      </c>
      <c r="AA15">
        <f t="shared" si="0"/>
        <v>4</v>
      </c>
    </row>
    <row r="16" spans="1:27">
      <c r="A16" s="8">
        <v>2</v>
      </c>
      <c r="B16" s="8">
        <v>2</v>
      </c>
      <c r="C16" s="8">
        <v>3</v>
      </c>
      <c r="D16" s="8" t="s">
        <v>71</v>
      </c>
      <c r="E16" s="8">
        <v>1</v>
      </c>
      <c r="G16">
        <v>15</v>
      </c>
      <c r="H16" t="s">
        <v>72</v>
      </c>
      <c r="I16" t="s">
        <v>73</v>
      </c>
      <c r="J16" t="s">
        <v>29</v>
      </c>
      <c r="K16" t="s">
        <v>30</v>
      </c>
      <c r="L16" t="s">
        <v>74</v>
      </c>
      <c r="M16" s="8">
        <v>3</v>
      </c>
      <c r="N16" s="8">
        <v>4</v>
      </c>
      <c r="O16" s="8">
        <v>4</v>
      </c>
      <c r="Q16" s="8">
        <v>4</v>
      </c>
      <c r="R16" s="8">
        <v>2</v>
      </c>
      <c r="S16" s="8">
        <v>2</v>
      </c>
      <c r="U16" s="8">
        <v>3</v>
      </c>
      <c r="V16" s="8">
        <v>2</v>
      </c>
      <c r="X16" s="8">
        <v>3</v>
      </c>
      <c r="Y16" s="8">
        <v>2</v>
      </c>
      <c r="Z16" s="8">
        <v>3</v>
      </c>
      <c r="AA16">
        <f t="shared" si="0"/>
        <v>2.66666666666667</v>
      </c>
    </row>
    <row r="17" spans="1:27">
      <c r="A17" s="8">
        <v>2</v>
      </c>
      <c r="B17" s="8">
        <v>2</v>
      </c>
      <c r="C17" s="8">
        <v>3</v>
      </c>
      <c r="D17" s="8" t="s">
        <v>75</v>
      </c>
      <c r="E17" s="8">
        <v>1</v>
      </c>
      <c r="G17">
        <v>16</v>
      </c>
      <c r="H17" t="s">
        <v>76</v>
      </c>
      <c r="I17" t="s">
        <v>77</v>
      </c>
      <c r="J17" t="s">
        <v>29</v>
      </c>
      <c r="K17" t="s">
        <v>30</v>
      </c>
      <c r="L17" t="s">
        <v>78</v>
      </c>
      <c r="M17" s="8">
        <v>1</v>
      </c>
      <c r="N17" s="8">
        <v>4</v>
      </c>
      <c r="O17" s="8">
        <v>3</v>
      </c>
      <c r="Q17" s="8">
        <v>4</v>
      </c>
      <c r="R17" s="8">
        <v>3</v>
      </c>
      <c r="S17" s="8">
        <v>3</v>
      </c>
      <c r="U17" s="8">
        <v>3</v>
      </c>
      <c r="V17" s="8">
        <v>3</v>
      </c>
      <c r="X17" s="8">
        <v>5</v>
      </c>
      <c r="Y17" s="8">
        <v>4</v>
      </c>
      <c r="Z17" s="8">
        <v>3</v>
      </c>
      <c r="AA17">
        <f t="shared" si="0"/>
        <v>4</v>
      </c>
    </row>
    <row r="18" spans="1:27">
      <c r="A18" s="8">
        <v>2</v>
      </c>
      <c r="B18" s="8">
        <v>3</v>
      </c>
      <c r="C18" s="8">
        <v>4</v>
      </c>
      <c r="D18" s="8" t="s">
        <v>79</v>
      </c>
      <c r="E18" s="8">
        <v>1</v>
      </c>
      <c r="G18">
        <v>17</v>
      </c>
      <c r="H18" t="s">
        <v>80</v>
      </c>
      <c r="I18" t="s">
        <v>81</v>
      </c>
      <c r="J18" t="s">
        <v>29</v>
      </c>
      <c r="K18" t="s">
        <v>30</v>
      </c>
      <c r="L18" t="s">
        <v>82</v>
      </c>
      <c r="M18" s="8">
        <v>1</v>
      </c>
      <c r="N18" s="8">
        <v>4</v>
      </c>
      <c r="O18" s="8">
        <v>4</v>
      </c>
      <c r="Q18" s="8">
        <v>4</v>
      </c>
      <c r="R18" s="8">
        <v>2</v>
      </c>
      <c r="S18" s="8">
        <v>2</v>
      </c>
      <c r="U18" s="8">
        <v>4</v>
      </c>
      <c r="V18" s="8">
        <v>3</v>
      </c>
      <c r="X18" s="8">
        <v>4</v>
      </c>
      <c r="Y18" s="8">
        <v>2</v>
      </c>
      <c r="Z18" s="8">
        <v>2</v>
      </c>
      <c r="AA18">
        <f t="shared" si="0"/>
        <v>2.66666666666667</v>
      </c>
    </row>
    <row r="19" spans="1:27">
      <c r="A19" s="8">
        <v>2</v>
      </c>
      <c r="B19" s="8">
        <v>2</v>
      </c>
      <c r="C19" s="8">
        <v>3</v>
      </c>
      <c r="D19" s="8" t="s">
        <v>75</v>
      </c>
      <c r="E19" s="8">
        <v>1</v>
      </c>
      <c r="G19">
        <v>18</v>
      </c>
      <c r="H19" t="s">
        <v>83</v>
      </c>
      <c r="I19" t="s">
        <v>84</v>
      </c>
      <c r="J19" t="s">
        <v>29</v>
      </c>
      <c r="K19" t="s">
        <v>30</v>
      </c>
      <c r="L19" t="s">
        <v>85</v>
      </c>
      <c r="M19" s="8">
        <v>3</v>
      </c>
      <c r="N19" s="8">
        <v>4</v>
      </c>
      <c r="O19" s="8">
        <v>3</v>
      </c>
      <c r="Q19" s="8">
        <v>5</v>
      </c>
      <c r="R19" s="8">
        <v>3</v>
      </c>
      <c r="S19" s="8">
        <v>4</v>
      </c>
      <c r="U19" s="8">
        <v>4</v>
      </c>
      <c r="V19" s="8">
        <v>3</v>
      </c>
      <c r="X19" s="8">
        <v>4</v>
      </c>
      <c r="Y19" s="8">
        <v>3</v>
      </c>
      <c r="Z19" s="8">
        <v>4</v>
      </c>
      <c r="AA19">
        <f t="shared" si="0"/>
        <v>3.66666666666667</v>
      </c>
    </row>
    <row r="20" spans="1:27">
      <c r="A20" s="8">
        <v>2</v>
      </c>
      <c r="B20" s="8">
        <v>2</v>
      </c>
      <c r="C20" s="8">
        <v>3</v>
      </c>
      <c r="D20" s="8" t="s">
        <v>75</v>
      </c>
      <c r="E20" s="8">
        <v>2</v>
      </c>
      <c r="G20">
        <v>19</v>
      </c>
      <c r="H20" t="s">
        <v>86</v>
      </c>
      <c r="I20" t="s">
        <v>87</v>
      </c>
      <c r="J20" t="s">
        <v>29</v>
      </c>
      <c r="K20" t="s">
        <v>30</v>
      </c>
      <c r="L20" t="s">
        <v>88</v>
      </c>
      <c r="M20" s="8">
        <v>1</v>
      </c>
      <c r="N20" s="8">
        <v>4</v>
      </c>
      <c r="O20" s="8">
        <v>4</v>
      </c>
      <c r="Q20" s="8">
        <v>4</v>
      </c>
      <c r="R20" s="8">
        <v>4</v>
      </c>
      <c r="S20" s="8">
        <v>4</v>
      </c>
      <c r="U20" s="8">
        <v>4</v>
      </c>
      <c r="V20" s="8">
        <v>3</v>
      </c>
      <c r="X20" s="8">
        <v>3</v>
      </c>
      <c r="Y20" s="8">
        <v>3</v>
      </c>
      <c r="Z20" s="8">
        <v>3</v>
      </c>
      <c r="AA20">
        <f t="shared" si="0"/>
        <v>3</v>
      </c>
    </row>
    <row r="21" spans="1:27">
      <c r="A21" s="8">
        <v>2</v>
      </c>
      <c r="B21" s="8">
        <v>2</v>
      </c>
      <c r="C21" s="8">
        <v>3</v>
      </c>
      <c r="D21" s="8" t="s">
        <v>75</v>
      </c>
      <c r="E21" s="8">
        <v>1</v>
      </c>
      <c r="G21">
        <v>20</v>
      </c>
      <c r="H21" t="s">
        <v>89</v>
      </c>
      <c r="I21" t="s">
        <v>90</v>
      </c>
      <c r="J21" t="s">
        <v>29</v>
      </c>
      <c r="K21" t="s">
        <v>30</v>
      </c>
      <c r="L21" t="s">
        <v>91</v>
      </c>
      <c r="M21" s="8">
        <v>3</v>
      </c>
      <c r="N21" s="8">
        <v>4</v>
      </c>
      <c r="O21" s="8">
        <v>3</v>
      </c>
      <c r="Q21" s="8">
        <v>3</v>
      </c>
      <c r="R21" s="8">
        <v>1</v>
      </c>
      <c r="S21" s="8">
        <v>1</v>
      </c>
      <c r="U21" s="8">
        <v>4</v>
      </c>
      <c r="V21" s="8">
        <v>4</v>
      </c>
      <c r="X21" s="8">
        <v>5</v>
      </c>
      <c r="Y21" s="8">
        <v>5</v>
      </c>
      <c r="Z21" s="8">
        <v>1</v>
      </c>
      <c r="AA21">
        <f t="shared" si="0"/>
        <v>3.66666666666667</v>
      </c>
    </row>
    <row r="22" spans="1:27">
      <c r="A22" s="8">
        <v>2</v>
      </c>
      <c r="B22" s="8">
        <v>2</v>
      </c>
      <c r="C22" s="8">
        <v>3</v>
      </c>
      <c r="D22" s="8" t="s">
        <v>75</v>
      </c>
      <c r="E22" s="8">
        <v>2</v>
      </c>
      <c r="G22">
        <v>21</v>
      </c>
      <c r="H22" t="s">
        <v>92</v>
      </c>
      <c r="I22" t="s">
        <v>93</v>
      </c>
      <c r="J22" t="s">
        <v>29</v>
      </c>
      <c r="K22" t="s">
        <v>30</v>
      </c>
      <c r="L22" t="s">
        <v>94</v>
      </c>
      <c r="M22" s="8">
        <v>4</v>
      </c>
      <c r="N22" s="8">
        <v>4</v>
      </c>
      <c r="O22" s="8">
        <v>4</v>
      </c>
      <c r="Q22" s="8">
        <v>4</v>
      </c>
      <c r="R22" s="8">
        <v>4</v>
      </c>
      <c r="S22" s="8">
        <v>2</v>
      </c>
      <c r="U22" s="8">
        <v>4</v>
      </c>
      <c r="V22" s="8">
        <v>2</v>
      </c>
      <c r="X22" s="8">
        <v>2</v>
      </c>
      <c r="Y22" s="8">
        <v>2</v>
      </c>
      <c r="Z22" s="8">
        <v>2</v>
      </c>
      <c r="AA22">
        <f t="shared" si="0"/>
        <v>2</v>
      </c>
    </row>
    <row r="23" spans="1:27">
      <c r="A23" s="8">
        <v>2</v>
      </c>
      <c r="B23" s="8">
        <v>2</v>
      </c>
      <c r="C23" s="8">
        <v>3</v>
      </c>
      <c r="D23" s="8" t="s">
        <v>75</v>
      </c>
      <c r="E23" s="8">
        <v>2</v>
      </c>
      <c r="G23">
        <v>22</v>
      </c>
      <c r="H23" t="s">
        <v>95</v>
      </c>
      <c r="I23" t="s">
        <v>96</v>
      </c>
      <c r="J23" t="s">
        <v>29</v>
      </c>
      <c r="K23" t="s">
        <v>30</v>
      </c>
      <c r="L23" t="s">
        <v>97</v>
      </c>
      <c r="M23" s="8">
        <v>1</v>
      </c>
      <c r="N23" s="8">
        <v>4</v>
      </c>
      <c r="O23" s="8">
        <v>4</v>
      </c>
      <c r="Q23" s="8">
        <v>3</v>
      </c>
      <c r="R23" s="8">
        <v>4</v>
      </c>
      <c r="S23" s="8">
        <v>4</v>
      </c>
      <c r="U23" s="8">
        <v>4</v>
      </c>
      <c r="V23" s="8">
        <v>3</v>
      </c>
      <c r="X23" s="8">
        <v>4</v>
      </c>
      <c r="Y23" s="8">
        <v>3</v>
      </c>
      <c r="Z23" s="8">
        <v>4</v>
      </c>
      <c r="AA23">
        <f t="shared" si="0"/>
        <v>3.66666666666667</v>
      </c>
    </row>
    <row r="24" spans="1:27">
      <c r="A24" s="8">
        <v>2</v>
      </c>
      <c r="B24" s="8">
        <v>2</v>
      </c>
      <c r="C24" s="8">
        <v>3</v>
      </c>
      <c r="D24" s="8" t="s">
        <v>75</v>
      </c>
      <c r="E24" s="8">
        <v>2</v>
      </c>
      <c r="G24">
        <v>23</v>
      </c>
      <c r="H24" t="s">
        <v>98</v>
      </c>
      <c r="I24" t="s">
        <v>99</v>
      </c>
      <c r="J24" t="s">
        <v>29</v>
      </c>
      <c r="K24" t="s">
        <v>30</v>
      </c>
      <c r="L24" t="s">
        <v>100</v>
      </c>
      <c r="M24" s="8">
        <v>2</v>
      </c>
      <c r="N24" s="8">
        <v>4</v>
      </c>
      <c r="O24" s="8">
        <v>5</v>
      </c>
      <c r="Q24" s="8">
        <v>4</v>
      </c>
      <c r="R24" s="8">
        <v>4</v>
      </c>
      <c r="S24" s="8">
        <v>3</v>
      </c>
      <c r="U24" s="8">
        <v>4</v>
      </c>
      <c r="V24" s="8">
        <v>3</v>
      </c>
      <c r="X24" s="8">
        <v>4</v>
      </c>
      <c r="Y24" s="8">
        <v>4</v>
      </c>
      <c r="Z24" s="8">
        <v>4</v>
      </c>
      <c r="AA24">
        <f t="shared" si="0"/>
        <v>4</v>
      </c>
    </row>
    <row r="25" spans="1:27">
      <c r="A25" s="8">
        <v>1</v>
      </c>
      <c r="B25" s="8">
        <v>3</v>
      </c>
      <c r="C25" s="8">
        <v>4</v>
      </c>
      <c r="D25" s="8" t="s">
        <v>26</v>
      </c>
      <c r="E25" s="8">
        <v>1</v>
      </c>
      <c r="G25">
        <v>24</v>
      </c>
      <c r="H25" t="s">
        <v>101</v>
      </c>
      <c r="I25" t="s">
        <v>102</v>
      </c>
      <c r="J25" t="s">
        <v>29</v>
      </c>
      <c r="K25" t="s">
        <v>30</v>
      </c>
      <c r="L25" t="s">
        <v>31</v>
      </c>
      <c r="M25" s="8">
        <v>2</v>
      </c>
      <c r="N25" s="8">
        <v>5</v>
      </c>
      <c r="O25" s="8">
        <v>4</v>
      </c>
      <c r="Q25" s="8">
        <v>5</v>
      </c>
      <c r="R25" s="8">
        <v>4</v>
      </c>
      <c r="S25" s="8">
        <v>5</v>
      </c>
      <c r="U25" s="8">
        <v>3</v>
      </c>
      <c r="V25" s="8">
        <v>3</v>
      </c>
      <c r="X25" s="8">
        <v>4</v>
      </c>
      <c r="Y25" s="8">
        <v>3</v>
      </c>
      <c r="Z25" s="8">
        <v>4</v>
      </c>
      <c r="AA25">
        <f t="shared" si="0"/>
        <v>3.66666666666667</v>
      </c>
    </row>
    <row r="26" spans="1:27">
      <c r="A26" s="8">
        <v>2</v>
      </c>
      <c r="B26" s="8">
        <v>2</v>
      </c>
      <c r="C26" s="8">
        <v>3</v>
      </c>
      <c r="D26" s="8" t="s">
        <v>103</v>
      </c>
      <c r="E26" s="8">
        <v>1</v>
      </c>
      <c r="G26">
        <v>25</v>
      </c>
      <c r="H26" t="s">
        <v>104</v>
      </c>
      <c r="I26" t="s">
        <v>105</v>
      </c>
      <c r="J26" t="s">
        <v>29</v>
      </c>
      <c r="K26" t="s">
        <v>30</v>
      </c>
      <c r="L26" t="s">
        <v>106</v>
      </c>
      <c r="M26" s="8">
        <v>3</v>
      </c>
      <c r="N26" s="8">
        <v>5</v>
      </c>
      <c r="O26" s="8">
        <v>5</v>
      </c>
      <c r="Q26" s="8">
        <v>5</v>
      </c>
      <c r="R26" s="8">
        <v>3</v>
      </c>
      <c r="S26" s="8">
        <v>3</v>
      </c>
      <c r="U26" s="8">
        <v>3</v>
      </c>
      <c r="V26" s="8">
        <v>5</v>
      </c>
      <c r="X26" s="8">
        <v>4</v>
      </c>
      <c r="Y26" s="8">
        <v>4</v>
      </c>
      <c r="Z26" s="8">
        <v>3</v>
      </c>
      <c r="AA26">
        <f t="shared" si="0"/>
        <v>3.66666666666667</v>
      </c>
    </row>
    <row r="27" spans="1:27">
      <c r="A27" s="8">
        <v>1</v>
      </c>
      <c r="B27" s="8">
        <v>2</v>
      </c>
      <c r="C27" s="8">
        <v>2</v>
      </c>
      <c r="D27" s="8" t="s">
        <v>107</v>
      </c>
      <c r="E27" s="8">
        <v>2</v>
      </c>
      <c r="G27">
        <v>26</v>
      </c>
      <c r="H27" t="s">
        <v>108</v>
      </c>
      <c r="I27" t="s">
        <v>109</v>
      </c>
      <c r="J27" t="s">
        <v>29</v>
      </c>
      <c r="K27" t="s">
        <v>30</v>
      </c>
      <c r="L27" t="s">
        <v>110</v>
      </c>
      <c r="M27" s="8">
        <v>4</v>
      </c>
      <c r="N27" s="8">
        <v>5</v>
      </c>
      <c r="O27" s="8">
        <v>4</v>
      </c>
      <c r="Q27" s="8">
        <v>4</v>
      </c>
      <c r="R27" s="8">
        <v>2</v>
      </c>
      <c r="S27" s="8">
        <v>4</v>
      </c>
      <c r="U27" s="8">
        <v>3</v>
      </c>
      <c r="V27" s="8">
        <v>4</v>
      </c>
      <c r="X27" s="8">
        <v>5</v>
      </c>
      <c r="Y27" s="8">
        <v>3</v>
      </c>
      <c r="Z27" s="8">
        <v>3</v>
      </c>
      <c r="AA27">
        <f t="shared" si="0"/>
        <v>3.66666666666667</v>
      </c>
    </row>
    <row r="28" spans="1:27">
      <c r="A28" s="8">
        <v>2</v>
      </c>
      <c r="B28" s="8">
        <v>2</v>
      </c>
      <c r="C28" s="8">
        <v>3</v>
      </c>
      <c r="D28" s="8" t="s">
        <v>75</v>
      </c>
      <c r="E28" s="8">
        <v>1</v>
      </c>
      <c r="G28">
        <v>27</v>
      </c>
      <c r="H28" t="s">
        <v>111</v>
      </c>
      <c r="I28" t="s">
        <v>112</v>
      </c>
      <c r="J28" t="s">
        <v>29</v>
      </c>
      <c r="K28" t="s">
        <v>30</v>
      </c>
      <c r="L28" t="s">
        <v>113</v>
      </c>
      <c r="M28" s="8">
        <v>2</v>
      </c>
      <c r="N28" s="8">
        <v>5</v>
      </c>
      <c r="O28" s="8">
        <v>5</v>
      </c>
      <c r="Q28" s="8">
        <v>5</v>
      </c>
      <c r="R28" s="8">
        <v>5</v>
      </c>
      <c r="S28" s="8">
        <v>5</v>
      </c>
      <c r="U28" s="8">
        <v>5</v>
      </c>
      <c r="V28" s="8">
        <v>5</v>
      </c>
      <c r="X28" s="8">
        <v>5</v>
      </c>
      <c r="Y28" s="8">
        <v>5</v>
      </c>
      <c r="Z28" s="8">
        <v>5</v>
      </c>
      <c r="AA28">
        <f t="shared" si="0"/>
        <v>5</v>
      </c>
    </row>
    <row r="29" spans="1:27">
      <c r="A29" s="8">
        <v>2</v>
      </c>
      <c r="B29" s="8">
        <v>3</v>
      </c>
      <c r="C29" s="8">
        <v>3</v>
      </c>
      <c r="D29" s="8" t="s">
        <v>114</v>
      </c>
      <c r="E29" s="8">
        <v>2</v>
      </c>
      <c r="G29">
        <v>28</v>
      </c>
      <c r="H29" t="s">
        <v>115</v>
      </c>
      <c r="I29" t="s">
        <v>116</v>
      </c>
      <c r="J29" t="s">
        <v>29</v>
      </c>
      <c r="K29" t="s">
        <v>30</v>
      </c>
      <c r="L29" t="s">
        <v>117</v>
      </c>
      <c r="M29" s="8">
        <v>3</v>
      </c>
      <c r="N29" s="8">
        <v>5</v>
      </c>
      <c r="O29" s="8">
        <v>4</v>
      </c>
      <c r="Q29" s="8">
        <v>5</v>
      </c>
      <c r="R29" s="8">
        <v>3</v>
      </c>
      <c r="S29" s="8">
        <v>5</v>
      </c>
      <c r="U29" s="8">
        <v>5</v>
      </c>
      <c r="V29" s="8">
        <v>4</v>
      </c>
      <c r="X29" s="8">
        <v>5</v>
      </c>
      <c r="Y29" s="8">
        <v>4</v>
      </c>
      <c r="Z29" s="8">
        <v>4</v>
      </c>
      <c r="AA29">
        <f t="shared" si="0"/>
        <v>4.33333333333333</v>
      </c>
    </row>
    <row r="30" spans="1:27">
      <c r="A30" s="8">
        <v>2</v>
      </c>
      <c r="B30" s="8">
        <v>2</v>
      </c>
      <c r="C30" s="8">
        <v>3</v>
      </c>
      <c r="D30" s="8" t="s">
        <v>26</v>
      </c>
      <c r="E30" s="8">
        <v>2</v>
      </c>
      <c r="G30">
        <v>29</v>
      </c>
      <c r="H30" t="s">
        <v>118</v>
      </c>
      <c r="I30" t="s">
        <v>119</v>
      </c>
      <c r="J30" t="s">
        <v>29</v>
      </c>
      <c r="K30" t="s">
        <v>30</v>
      </c>
      <c r="L30" t="s">
        <v>120</v>
      </c>
      <c r="M30" s="8">
        <v>1</v>
      </c>
      <c r="N30" s="8">
        <v>5</v>
      </c>
      <c r="O30" s="8">
        <v>5</v>
      </c>
      <c r="Q30" s="8">
        <v>5</v>
      </c>
      <c r="R30" s="8">
        <v>2</v>
      </c>
      <c r="S30" s="8">
        <v>2</v>
      </c>
      <c r="U30" s="8">
        <v>2</v>
      </c>
      <c r="V30" s="8">
        <v>2</v>
      </c>
      <c r="X30" s="8">
        <v>5</v>
      </c>
      <c r="Y30" s="8">
        <v>2</v>
      </c>
      <c r="Z30" s="8">
        <v>3</v>
      </c>
      <c r="AA30">
        <f t="shared" si="0"/>
        <v>3.33333333333333</v>
      </c>
    </row>
    <row r="31" spans="1:27">
      <c r="A31" s="8">
        <v>2</v>
      </c>
      <c r="B31" s="8">
        <v>2</v>
      </c>
      <c r="C31" s="8">
        <v>3</v>
      </c>
      <c r="D31" s="8" t="s">
        <v>75</v>
      </c>
      <c r="E31" s="8">
        <v>2</v>
      </c>
      <c r="G31">
        <v>30</v>
      </c>
      <c r="H31" t="s">
        <v>121</v>
      </c>
      <c r="I31" t="s">
        <v>122</v>
      </c>
      <c r="J31" t="s">
        <v>29</v>
      </c>
      <c r="K31" t="s">
        <v>30</v>
      </c>
      <c r="L31" t="s">
        <v>123</v>
      </c>
      <c r="M31" s="8">
        <v>4</v>
      </c>
      <c r="N31" s="8">
        <v>5</v>
      </c>
      <c r="O31" s="8">
        <v>5</v>
      </c>
      <c r="Q31" s="8">
        <v>5</v>
      </c>
      <c r="R31" s="8">
        <v>5</v>
      </c>
      <c r="S31" s="8">
        <v>5</v>
      </c>
      <c r="U31" s="8">
        <v>5</v>
      </c>
      <c r="V31" s="8">
        <v>5</v>
      </c>
      <c r="X31" s="8">
        <v>5</v>
      </c>
      <c r="Y31" s="8">
        <v>5</v>
      </c>
      <c r="Z31" s="8">
        <v>5</v>
      </c>
      <c r="AA31">
        <f t="shared" si="0"/>
        <v>5</v>
      </c>
    </row>
    <row r="32" spans="1:27">
      <c r="A32" s="8">
        <v>2</v>
      </c>
      <c r="B32" s="8">
        <v>2</v>
      </c>
      <c r="C32" s="8">
        <v>3</v>
      </c>
      <c r="D32" s="8" t="s">
        <v>75</v>
      </c>
      <c r="E32" s="8">
        <v>1</v>
      </c>
      <c r="G32">
        <v>31</v>
      </c>
      <c r="H32" t="s">
        <v>124</v>
      </c>
      <c r="I32" t="s">
        <v>125</v>
      </c>
      <c r="J32" t="s">
        <v>29</v>
      </c>
      <c r="K32" t="s">
        <v>30</v>
      </c>
      <c r="L32" t="s">
        <v>126</v>
      </c>
      <c r="M32" s="8">
        <v>1</v>
      </c>
      <c r="N32" s="8">
        <v>5</v>
      </c>
      <c r="O32" s="8">
        <v>5</v>
      </c>
      <c r="Q32" s="8">
        <v>3</v>
      </c>
      <c r="R32" s="8">
        <v>4</v>
      </c>
      <c r="S32" s="8">
        <v>4</v>
      </c>
      <c r="U32" s="8">
        <v>4</v>
      </c>
      <c r="V32" s="8">
        <v>3</v>
      </c>
      <c r="X32" s="8">
        <v>4</v>
      </c>
      <c r="Y32" s="8">
        <v>3</v>
      </c>
      <c r="Z32" s="8">
        <v>4</v>
      </c>
      <c r="AA32">
        <f t="shared" si="0"/>
        <v>3.66666666666667</v>
      </c>
    </row>
    <row r="33" spans="1:27">
      <c r="A33" s="8">
        <v>2</v>
      </c>
      <c r="B33" s="8">
        <v>2</v>
      </c>
      <c r="C33" s="8">
        <v>3</v>
      </c>
      <c r="D33" s="8" t="s">
        <v>127</v>
      </c>
      <c r="E33" s="8">
        <v>2</v>
      </c>
      <c r="G33">
        <v>32</v>
      </c>
      <c r="H33" t="s">
        <v>128</v>
      </c>
      <c r="I33" t="s">
        <v>129</v>
      </c>
      <c r="J33" t="s">
        <v>29</v>
      </c>
      <c r="K33" t="s">
        <v>30</v>
      </c>
      <c r="L33" t="s">
        <v>130</v>
      </c>
      <c r="M33" s="8">
        <v>4</v>
      </c>
      <c r="N33" s="8">
        <v>5</v>
      </c>
      <c r="O33" s="8">
        <v>5</v>
      </c>
      <c r="Q33" s="8">
        <v>4</v>
      </c>
      <c r="R33" s="8">
        <v>2</v>
      </c>
      <c r="S33" s="8">
        <v>3</v>
      </c>
      <c r="U33" s="8">
        <v>5</v>
      </c>
      <c r="V33" s="8">
        <v>5</v>
      </c>
      <c r="X33" s="8">
        <v>5</v>
      </c>
      <c r="Y33" s="8">
        <v>5</v>
      </c>
      <c r="Z33" s="8">
        <v>3</v>
      </c>
      <c r="AA33">
        <f t="shared" si="0"/>
        <v>4.33333333333333</v>
      </c>
    </row>
    <row r="34" spans="1:27">
      <c r="A34" s="8">
        <v>2</v>
      </c>
      <c r="B34" s="8">
        <v>2</v>
      </c>
      <c r="C34" s="8">
        <v>3</v>
      </c>
      <c r="D34" s="8" t="s">
        <v>75</v>
      </c>
      <c r="E34" s="8">
        <v>2</v>
      </c>
      <c r="G34">
        <v>33</v>
      </c>
      <c r="H34" t="s">
        <v>131</v>
      </c>
      <c r="I34" t="s">
        <v>132</v>
      </c>
      <c r="J34" t="s">
        <v>29</v>
      </c>
      <c r="K34" t="s">
        <v>30</v>
      </c>
      <c r="L34" t="s">
        <v>133</v>
      </c>
      <c r="M34" s="8">
        <v>1</v>
      </c>
      <c r="N34" s="8">
        <v>2</v>
      </c>
      <c r="O34" s="8">
        <v>2</v>
      </c>
      <c r="Q34" s="8">
        <v>2</v>
      </c>
      <c r="R34" s="8">
        <v>2</v>
      </c>
      <c r="S34" s="8">
        <v>2</v>
      </c>
      <c r="U34" s="8">
        <v>2</v>
      </c>
      <c r="V34" s="8">
        <v>2</v>
      </c>
      <c r="X34" s="8">
        <v>2</v>
      </c>
      <c r="Y34" s="8">
        <v>2</v>
      </c>
      <c r="Z34" s="8">
        <v>2</v>
      </c>
      <c r="AA34">
        <f t="shared" si="0"/>
        <v>2</v>
      </c>
    </row>
    <row r="35" spans="1:27">
      <c r="A35" s="8">
        <v>2</v>
      </c>
      <c r="B35" s="8">
        <v>2</v>
      </c>
      <c r="C35" s="8">
        <v>3</v>
      </c>
      <c r="D35" s="8" t="s">
        <v>75</v>
      </c>
      <c r="E35" s="8">
        <v>2</v>
      </c>
      <c r="G35">
        <v>34</v>
      </c>
      <c r="H35" t="s">
        <v>134</v>
      </c>
      <c r="I35" t="s">
        <v>135</v>
      </c>
      <c r="J35" t="s">
        <v>29</v>
      </c>
      <c r="K35" t="s">
        <v>30</v>
      </c>
      <c r="L35" t="s">
        <v>136</v>
      </c>
      <c r="M35" s="8">
        <v>4</v>
      </c>
      <c r="N35" s="8">
        <v>3</v>
      </c>
      <c r="O35" s="8">
        <v>4</v>
      </c>
      <c r="Q35" s="8">
        <v>4</v>
      </c>
      <c r="R35" s="8">
        <v>2</v>
      </c>
      <c r="S35" s="8">
        <v>4</v>
      </c>
      <c r="U35" s="8">
        <v>2</v>
      </c>
      <c r="V35" s="8">
        <v>2</v>
      </c>
      <c r="X35" s="8">
        <v>2</v>
      </c>
      <c r="Y35" s="8">
        <v>1</v>
      </c>
      <c r="Z35" s="8">
        <v>3</v>
      </c>
      <c r="AA35">
        <f t="shared" si="0"/>
        <v>2</v>
      </c>
    </row>
    <row r="36" spans="1:27">
      <c r="A36" s="8">
        <v>2</v>
      </c>
      <c r="B36" s="8">
        <v>2</v>
      </c>
      <c r="C36" s="8">
        <v>3</v>
      </c>
      <c r="D36" s="8" t="s">
        <v>75</v>
      </c>
      <c r="E36" s="8">
        <v>1</v>
      </c>
      <c r="G36">
        <v>35</v>
      </c>
      <c r="H36" t="s">
        <v>137</v>
      </c>
      <c r="I36" t="s">
        <v>138</v>
      </c>
      <c r="J36" t="s">
        <v>29</v>
      </c>
      <c r="K36" t="s">
        <v>30</v>
      </c>
      <c r="L36" t="s">
        <v>139</v>
      </c>
      <c r="M36" s="8">
        <v>1</v>
      </c>
      <c r="N36" s="8">
        <v>3</v>
      </c>
      <c r="O36" s="8">
        <v>4</v>
      </c>
      <c r="Q36" s="8">
        <v>5</v>
      </c>
      <c r="R36" s="8">
        <v>4</v>
      </c>
      <c r="S36" s="8">
        <v>3</v>
      </c>
      <c r="U36" s="8">
        <v>3</v>
      </c>
      <c r="V36" s="8">
        <v>3</v>
      </c>
      <c r="X36" s="8">
        <v>4</v>
      </c>
      <c r="Y36" s="8">
        <v>3</v>
      </c>
      <c r="Z36" s="8">
        <v>3</v>
      </c>
      <c r="AA36">
        <f t="shared" ref="AA36:AA67" si="1">(X36+Y36+Z36)/3</f>
        <v>3.33333333333333</v>
      </c>
    </row>
    <row r="37" spans="1:27">
      <c r="A37" s="8">
        <v>2</v>
      </c>
      <c r="B37" s="8">
        <v>2</v>
      </c>
      <c r="C37" s="8">
        <v>3</v>
      </c>
      <c r="D37" s="8" t="s">
        <v>140</v>
      </c>
      <c r="E37" s="8">
        <v>1</v>
      </c>
      <c r="G37">
        <v>36</v>
      </c>
      <c r="H37" t="s">
        <v>141</v>
      </c>
      <c r="I37" t="s">
        <v>142</v>
      </c>
      <c r="J37" t="s">
        <v>29</v>
      </c>
      <c r="K37" t="s">
        <v>30</v>
      </c>
      <c r="L37" t="s">
        <v>143</v>
      </c>
      <c r="M37" s="8">
        <v>3</v>
      </c>
      <c r="N37" s="8">
        <v>3</v>
      </c>
      <c r="O37" s="8">
        <v>3</v>
      </c>
      <c r="Q37" s="8">
        <v>2</v>
      </c>
      <c r="R37" s="8">
        <v>2</v>
      </c>
      <c r="S37" s="8">
        <v>3</v>
      </c>
      <c r="U37" s="8">
        <v>2</v>
      </c>
      <c r="V37" s="8">
        <v>2</v>
      </c>
      <c r="X37" s="8">
        <v>3</v>
      </c>
      <c r="Y37" s="8">
        <v>1</v>
      </c>
      <c r="Z37" s="8">
        <v>2</v>
      </c>
      <c r="AA37">
        <f t="shared" si="1"/>
        <v>2</v>
      </c>
    </row>
    <row r="38" spans="1:27">
      <c r="A38" s="8">
        <v>2</v>
      </c>
      <c r="B38" s="8">
        <v>2</v>
      </c>
      <c r="C38" s="8">
        <v>3</v>
      </c>
      <c r="D38" s="8" t="s">
        <v>26</v>
      </c>
      <c r="E38" s="8">
        <v>2</v>
      </c>
      <c r="G38">
        <v>37</v>
      </c>
      <c r="H38" t="s">
        <v>144</v>
      </c>
      <c r="I38" t="s">
        <v>145</v>
      </c>
      <c r="J38" t="s">
        <v>29</v>
      </c>
      <c r="K38" t="s">
        <v>30</v>
      </c>
      <c r="L38" t="s">
        <v>146</v>
      </c>
      <c r="M38" s="8">
        <v>4</v>
      </c>
      <c r="N38" s="8">
        <v>3</v>
      </c>
      <c r="O38" s="8">
        <v>2</v>
      </c>
      <c r="Q38" s="8">
        <v>3</v>
      </c>
      <c r="R38" s="8">
        <v>2</v>
      </c>
      <c r="S38" s="8">
        <v>3</v>
      </c>
      <c r="U38" s="8">
        <v>3</v>
      </c>
      <c r="V38" s="8">
        <v>2</v>
      </c>
      <c r="X38" s="8">
        <v>3</v>
      </c>
      <c r="Y38" s="8">
        <v>2</v>
      </c>
      <c r="Z38" s="8">
        <v>3</v>
      </c>
      <c r="AA38">
        <f t="shared" si="1"/>
        <v>2.66666666666667</v>
      </c>
    </row>
    <row r="39" spans="1:27">
      <c r="A39" s="8">
        <v>2</v>
      </c>
      <c r="B39" s="8">
        <v>2</v>
      </c>
      <c r="C39" s="8">
        <v>3</v>
      </c>
      <c r="D39" s="8" t="s">
        <v>75</v>
      </c>
      <c r="E39" s="8">
        <v>2</v>
      </c>
      <c r="G39">
        <v>38</v>
      </c>
      <c r="H39" t="s">
        <v>147</v>
      </c>
      <c r="I39" t="s">
        <v>148</v>
      </c>
      <c r="J39" t="s">
        <v>29</v>
      </c>
      <c r="K39" t="s">
        <v>30</v>
      </c>
      <c r="L39" t="s">
        <v>149</v>
      </c>
      <c r="M39" s="8">
        <v>2</v>
      </c>
      <c r="N39" s="8">
        <v>3</v>
      </c>
      <c r="O39" s="8">
        <v>2</v>
      </c>
      <c r="Q39" s="8">
        <v>2</v>
      </c>
      <c r="R39" s="8">
        <v>2</v>
      </c>
      <c r="S39" s="8">
        <v>2</v>
      </c>
      <c r="U39" s="8">
        <v>2</v>
      </c>
      <c r="V39" s="8">
        <v>2</v>
      </c>
      <c r="X39" s="8">
        <v>2</v>
      </c>
      <c r="Y39" s="8">
        <v>2</v>
      </c>
      <c r="Z39" s="8">
        <v>2</v>
      </c>
      <c r="AA39">
        <f t="shared" si="1"/>
        <v>2</v>
      </c>
    </row>
    <row r="40" spans="1:27">
      <c r="A40" s="8">
        <v>2</v>
      </c>
      <c r="B40" s="8">
        <v>2</v>
      </c>
      <c r="C40" s="8">
        <v>3</v>
      </c>
      <c r="D40" s="8" t="s">
        <v>140</v>
      </c>
      <c r="E40" s="8">
        <v>2</v>
      </c>
      <c r="G40">
        <v>39</v>
      </c>
      <c r="H40" t="s">
        <v>150</v>
      </c>
      <c r="I40" t="s">
        <v>151</v>
      </c>
      <c r="J40" t="s">
        <v>29</v>
      </c>
      <c r="K40" t="s">
        <v>30</v>
      </c>
      <c r="L40" t="s">
        <v>152</v>
      </c>
      <c r="M40" s="8">
        <v>2</v>
      </c>
      <c r="N40" s="8">
        <v>3</v>
      </c>
      <c r="O40" s="8">
        <v>3</v>
      </c>
      <c r="Q40" s="8">
        <v>3</v>
      </c>
      <c r="R40" s="8">
        <v>3</v>
      </c>
      <c r="S40" s="8">
        <v>4</v>
      </c>
      <c r="U40" s="8">
        <v>4</v>
      </c>
      <c r="V40" s="8">
        <v>2</v>
      </c>
      <c r="X40" s="8">
        <v>4</v>
      </c>
      <c r="Y40" s="8">
        <v>4</v>
      </c>
      <c r="Z40" s="8">
        <v>3</v>
      </c>
      <c r="AA40">
        <f t="shared" si="1"/>
        <v>3.66666666666667</v>
      </c>
    </row>
    <row r="41" spans="1:27">
      <c r="A41" s="8">
        <v>2</v>
      </c>
      <c r="B41" s="8">
        <v>3</v>
      </c>
      <c r="C41" s="8">
        <v>3</v>
      </c>
      <c r="D41" s="8" t="s">
        <v>153</v>
      </c>
      <c r="E41" s="8">
        <v>1</v>
      </c>
      <c r="G41">
        <v>40</v>
      </c>
      <c r="H41" t="s">
        <v>154</v>
      </c>
      <c r="I41" t="s">
        <v>155</v>
      </c>
      <c r="J41" t="s">
        <v>29</v>
      </c>
      <c r="K41" t="s">
        <v>30</v>
      </c>
      <c r="L41" t="s">
        <v>156</v>
      </c>
      <c r="M41" s="8">
        <v>3</v>
      </c>
      <c r="N41" s="8">
        <v>3</v>
      </c>
      <c r="O41" s="8">
        <v>4</v>
      </c>
      <c r="Q41" s="8">
        <v>3</v>
      </c>
      <c r="R41" s="8">
        <v>2</v>
      </c>
      <c r="S41" s="8">
        <v>4</v>
      </c>
      <c r="U41" s="8">
        <v>3</v>
      </c>
      <c r="V41" s="8">
        <v>3</v>
      </c>
      <c r="X41" s="8">
        <v>4</v>
      </c>
      <c r="Y41" s="8">
        <v>4</v>
      </c>
      <c r="Z41" s="8">
        <v>3</v>
      </c>
      <c r="AA41">
        <f t="shared" si="1"/>
        <v>3.66666666666667</v>
      </c>
    </row>
    <row r="42" spans="1:27">
      <c r="A42" s="8">
        <v>2</v>
      </c>
      <c r="B42" s="8">
        <v>2</v>
      </c>
      <c r="C42" s="8">
        <v>3</v>
      </c>
      <c r="D42" s="8" t="s">
        <v>26</v>
      </c>
      <c r="E42" s="8">
        <v>1</v>
      </c>
      <c r="G42">
        <v>41</v>
      </c>
      <c r="H42" t="s">
        <v>157</v>
      </c>
      <c r="I42" t="s">
        <v>158</v>
      </c>
      <c r="J42" t="s">
        <v>29</v>
      </c>
      <c r="K42" t="s">
        <v>30</v>
      </c>
      <c r="L42" t="s">
        <v>159</v>
      </c>
      <c r="M42" s="8">
        <v>2</v>
      </c>
      <c r="N42" s="8">
        <v>3</v>
      </c>
      <c r="O42" s="8">
        <v>3</v>
      </c>
      <c r="Q42" s="8">
        <v>2</v>
      </c>
      <c r="R42" s="8">
        <v>3</v>
      </c>
      <c r="S42" s="8">
        <v>2</v>
      </c>
      <c r="U42" s="8">
        <v>4</v>
      </c>
      <c r="V42" s="8">
        <v>4</v>
      </c>
      <c r="X42" s="8">
        <v>4</v>
      </c>
      <c r="Y42" s="8">
        <v>4</v>
      </c>
      <c r="Z42" s="8">
        <v>4</v>
      </c>
      <c r="AA42">
        <f t="shared" si="1"/>
        <v>4</v>
      </c>
    </row>
    <row r="43" spans="1:27">
      <c r="A43" s="8">
        <v>2</v>
      </c>
      <c r="B43" s="8">
        <v>2</v>
      </c>
      <c r="C43" s="8">
        <v>3</v>
      </c>
      <c r="D43" s="8" t="s">
        <v>26</v>
      </c>
      <c r="E43" s="8">
        <v>2</v>
      </c>
      <c r="G43">
        <v>42</v>
      </c>
      <c r="H43" t="s">
        <v>160</v>
      </c>
      <c r="I43" t="s">
        <v>90</v>
      </c>
      <c r="J43" t="s">
        <v>29</v>
      </c>
      <c r="K43" t="s">
        <v>30</v>
      </c>
      <c r="L43" t="s">
        <v>161</v>
      </c>
      <c r="M43" s="8">
        <v>4</v>
      </c>
      <c r="N43" s="8">
        <v>3</v>
      </c>
      <c r="O43" s="8">
        <v>2</v>
      </c>
      <c r="Q43" s="8">
        <v>2</v>
      </c>
      <c r="R43" s="8">
        <v>2</v>
      </c>
      <c r="S43" s="8">
        <v>2</v>
      </c>
      <c r="U43" s="8">
        <v>2</v>
      </c>
      <c r="V43" s="8">
        <v>2</v>
      </c>
      <c r="X43" s="8">
        <v>2</v>
      </c>
      <c r="Y43" s="8">
        <v>2</v>
      </c>
      <c r="Z43" s="8">
        <v>2</v>
      </c>
      <c r="AA43">
        <f t="shared" si="1"/>
        <v>2</v>
      </c>
    </row>
    <row r="44" spans="1:27">
      <c r="A44" s="8">
        <v>2</v>
      </c>
      <c r="B44" s="8">
        <v>2</v>
      </c>
      <c r="C44" s="8">
        <v>3</v>
      </c>
      <c r="D44" s="8" t="s">
        <v>26</v>
      </c>
      <c r="E44" s="8">
        <v>2</v>
      </c>
      <c r="G44">
        <v>43</v>
      </c>
      <c r="H44" t="s">
        <v>162</v>
      </c>
      <c r="I44" t="s">
        <v>163</v>
      </c>
      <c r="J44" t="s">
        <v>29</v>
      </c>
      <c r="K44" t="s">
        <v>30</v>
      </c>
      <c r="L44" t="s">
        <v>164</v>
      </c>
      <c r="M44" s="8">
        <v>1</v>
      </c>
      <c r="N44" s="8">
        <v>3</v>
      </c>
      <c r="O44" s="8">
        <v>4</v>
      </c>
      <c r="Q44" s="8">
        <v>4</v>
      </c>
      <c r="R44" s="8">
        <v>3</v>
      </c>
      <c r="S44" s="8">
        <v>4</v>
      </c>
      <c r="U44" s="8">
        <v>3</v>
      </c>
      <c r="V44" s="8">
        <v>3</v>
      </c>
      <c r="X44" s="8">
        <v>3</v>
      </c>
      <c r="Y44" s="8">
        <v>2</v>
      </c>
      <c r="Z44" s="8">
        <v>3</v>
      </c>
      <c r="AA44">
        <f t="shared" si="1"/>
        <v>2.66666666666667</v>
      </c>
    </row>
    <row r="45" spans="1:27">
      <c r="A45" s="8">
        <v>2</v>
      </c>
      <c r="B45" s="8">
        <v>2</v>
      </c>
      <c r="C45" s="8">
        <v>3</v>
      </c>
      <c r="D45" s="8" t="s">
        <v>75</v>
      </c>
      <c r="E45" s="8">
        <v>2</v>
      </c>
      <c r="G45">
        <v>44</v>
      </c>
      <c r="H45" t="s">
        <v>165</v>
      </c>
      <c r="I45" t="s">
        <v>166</v>
      </c>
      <c r="J45" t="s">
        <v>29</v>
      </c>
      <c r="K45" t="s">
        <v>30</v>
      </c>
      <c r="L45" t="s">
        <v>167</v>
      </c>
      <c r="M45" s="8">
        <v>1</v>
      </c>
      <c r="N45" s="8">
        <v>3</v>
      </c>
      <c r="O45" s="8">
        <v>4</v>
      </c>
      <c r="Q45" s="8">
        <v>4</v>
      </c>
      <c r="R45" s="8">
        <v>3</v>
      </c>
      <c r="S45" s="8">
        <v>4</v>
      </c>
      <c r="U45" s="8">
        <v>3</v>
      </c>
      <c r="V45" s="8">
        <v>4</v>
      </c>
      <c r="X45" s="8">
        <v>4</v>
      </c>
      <c r="Y45" s="8">
        <v>3</v>
      </c>
      <c r="Z45" s="8">
        <v>4</v>
      </c>
      <c r="AA45">
        <f t="shared" si="1"/>
        <v>3.66666666666667</v>
      </c>
    </row>
    <row r="46" spans="1:27">
      <c r="A46" s="8">
        <v>2</v>
      </c>
      <c r="B46" s="8">
        <v>2</v>
      </c>
      <c r="C46" s="8">
        <v>3</v>
      </c>
      <c r="D46" s="8" t="s">
        <v>75</v>
      </c>
      <c r="E46" s="8">
        <v>1</v>
      </c>
      <c r="G46">
        <v>45</v>
      </c>
      <c r="H46" t="s">
        <v>168</v>
      </c>
      <c r="I46" t="s">
        <v>169</v>
      </c>
      <c r="J46" t="s">
        <v>29</v>
      </c>
      <c r="K46" t="s">
        <v>30</v>
      </c>
      <c r="L46" t="s">
        <v>170</v>
      </c>
      <c r="M46" s="8">
        <v>4</v>
      </c>
      <c r="N46" s="8">
        <v>3</v>
      </c>
      <c r="O46" s="8">
        <v>3</v>
      </c>
      <c r="Q46" s="8">
        <v>3</v>
      </c>
      <c r="R46" s="8">
        <v>3</v>
      </c>
      <c r="S46" s="8">
        <v>2</v>
      </c>
      <c r="U46" s="8">
        <v>3</v>
      </c>
      <c r="V46" s="8">
        <v>2</v>
      </c>
      <c r="X46" s="8">
        <v>2</v>
      </c>
      <c r="Y46" s="8">
        <v>2</v>
      </c>
      <c r="Z46" s="8">
        <v>4</v>
      </c>
      <c r="AA46">
        <f t="shared" si="1"/>
        <v>2.66666666666667</v>
      </c>
    </row>
    <row r="47" spans="1:27">
      <c r="A47" s="8">
        <v>2</v>
      </c>
      <c r="B47" s="8">
        <v>2</v>
      </c>
      <c r="C47" s="8">
        <v>3</v>
      </c>
      <c r="D47" s="8" t="s">
        <v>26</v>
      </c>
      <c r="E47" s="8">
        <v>1</v>
      </c>
      <c r="G47">
        <v>46</v>
      </c>
      <c r="H47" t="s">
        <v>171</v>
      </c>
      <c r="I47" t="s">
        <v>84</v>
      </c>
      <c r="J47" t="s">
        <v>29</v>
      </c>
      <c r="K47" t="s">
        <v>30</v>
      </c>
      <c r="L47" t="s">
        <v>172</v>
      </c>
      <c r="M47" s="8">
        <v>1</v>
      </c>
      <c r="N47" s="8">
        <v>4</v>
      </c>
      <c r="O47" s="8">
        <v>4</v>
      </c>
      <c r="Q47" s="8">
        <v>4</v>
      </c>
      <c r="R47" s="8">
        <v>4</v>
      </c>
      <c r="S47" s="8">
        <v>4</v>
      </c>
      <c r="U47" s="8">
        <v>4</v>
      </c>
      <c r="V47" s="8">
        <v>4</v>
      </c>
      <c r="X47" s="8">
        <v>4</v>
      </c>
      <c r="Y47" s="8">
        <v>4</v>
      </c>
      <c r="Z47" s="8">
        <v>4</v>
      </c>
      <c r="AA47">
        <f t="shared" si="1"/>
        <v>4</v>
      </c>
    </row>
    <row r="48" spans="1:27">
      <c r="A48" s="8">
        <v>2</v>
      </c>
      <c r="B48" s="8">
        <v>2</v>
      </c>
      <c r="C48" s="8">
        <v>3</v>
      </c>
      <c r="D48" s="8" t="s">
        <v>75</v>
      </c>
      <c r="E48" s="8">
        <v>2</v>
      </c>
      <c r="G48">
        <v>47</v>
      </c>
      <c r="H48" t="s">
        <v>173</v>
      </c>
      <c r="I48" t="s">
        <v>174</v>
      </c>
      <c r="J48" t="s">
        <v>29</v>
      </c>
      <c r="K48" t="s">
        <v>30</v>
      </c>
      <c r="L48" t="s">
        <v>175</v>
      </c>
      <c r="M48" s="8">
        <v>1</v>
      </c>
      <c r="N48" s="8">
        <v>4</v>
      </c>
      <c r="O48" s="8">
        <v>4</v>
      </c>
      <c r="Q48" s="8">
        <v>5</v>
      </c>
      <c r="R48" s="8">
        <v>4</v>
      </c>
      <c r="S48" s="8">
        <v>3</v>
      </c>
      <c r="U48" s="8">
        <v>5</v>
      </c>
      <c r="V48" s="8">
        <v>5</v>
      </c>
      <c r="X48" s="8">
        <v>5</v>
      </c>
      <c r="Y48" s="8">
        <v>3</v>
      </c>
      <c r="Z48" s="8">
        <v>3</v>
      </c>
      <c r="AA48">
        <f t="shared" si="1"/>
        <v>3.66666666666667</v>
      </c>
    </row>
    <row r="49" spans="1:27">
      <c r="A49" s="8">
        <v>2</v>
      </c>
      <c r="B49" s="8">
        <v>2</v>
      </c>
      <c r="C49" s="8">
        <v>3</v>
      </c>
      <c r="D49" s="8" t="s">
        <v>75</v>
      </c>
      <c r="E49" s="8">
        <v>2</v>
      </c>
      <c r="G49">
        <v>48</v>
      </c>
      <c r="H49" t="s">
        <v>176</v>
      </c>
      <c r="I49" t="s">
        <v>177</v>
      </c>
      <c r="J49" t="s">
        <v>29</v>
      </c>
      <c r="K49" t="s">
        <v>30</v>
      </c>
      <c r="L49" t="s">
        <v>178</v>
      </c>
      <c r="M49" s="8">
        <v>1</v>
      </c>
      <c r="N49" s="8">
        <v>4</v>
      </c>
      <c r="O49" s="8">
        <v>3</v>
      </c>
      <c r="Q49" s="8">
        <v>3</v>
      </c>
      <c r="R49" s="8">
        <v>3</v>
      </c>
      <c r="S49" s="8">
        <v>3</v>
      </c>
      <c r="U49" s="8">
        <v>2</v>
      </c>
      <c r="V49" s="8">
        <v>2</v>
      </c>
      <c r="X49" s="8">
        <v>4</v>
      </c>
      <c r="Y49" s="8">
        <v>3</v>
      </c>
      <c r="Z49" s="8">
        <v>3</v>
      </c>
      <c r="AA49">
        <f t="shared" si="1"/>
        <v>3.33333333333333</v>
      </c>
    </row>
    <row r="50" spans="1:27">
      <c r="A50" s="8">
        <v>2</v>
      </c>
      <c r="B50" s="8">
        <v>2</v>
      </c>
      <c r="C50" s="8">
        <v>3</v>
      </c>
      <c r="D50" s="8" t="s">
        <v>26</v>
      </c>
      <c r="E50" s="8">
        <v>1</v>
      </c>
      <c r="G50">
        <v>49</v>
      </c>
      <c r="H50" t="s">
        <v>179</v>
      </c>
      <c r="I50" t="s">
        <v>180</v>
      </c>
      <c r="J50" t="s">
        <v>29</v>
      </c>
      <c r="K50" t="s">
        <v>30</v>
      </c>
      <c r="L50" t="s">
        <v>181</v>
      </c>
      <c r="M50" s="8">
        <v>4</v>
      </c>
      <c r="N50" s="8">
        <v>4</v>
      </c>
      <c r="O50" s="8">
        <v>3</v>
      </c>
      <c r="Q50" s="8">
        <v>3</v>
      </c>
      <c r="R50" s="8">
        <v>3</v>
      </c>
      <c r="S50" s="8">
        <v>3</v>
      </c>
      <c r="U50" s="8">
        <v>3</v>
      </c>
      <c r="V50" s="8">
        <v>3</v>
      </c>
      <c r="X50" s="8">
        <v>3</v>
      </c>
      <c r="Y50" s="8">
        <v>3</v>
      </c>
      <c r="Z50" s="8">
        <v>3</v>
      </c>
      <c r="AA50">
        <f t="shared" si="1"/>
        <v>3</v>
      </c>
    </row>
    <row r="51" spans="1:27">
      <c r="A51" s="8">
        <v>2</v>
      </c>
      <c r="B51" s="8">
        <v>3</v>
      </c>
      <c r="C51" s="8">
        <v>4</v>
      </c>
      <c r="D51" s="8" t="s">
        <v>79</v>
      </c>
      <c r="E51" s="8">
        <v>1</v>
      </c>
      <c r="G51">
        <v>50</v>
      </c>
      <c r="H51" t="s">
        <v>182</v>
      </c>
      <c r="I51" t="s">
        <v>116</v>
      </c>
      <c r="J51" t="s">
        <v>29</v>
      </c>
      <c r="K51" t="s">
        <v>30</v>
      </c>
      <c r="L51" t="s">
        <v>183</v>
      </c>
      <c r="M51" s="8">
        <v>4</v>
      </c>
      <c r="N51" s="8">
        <v>4</v>
      </c>
      <c r="O51" s="8">
        <v>4</v>
      </c>
      <c r="Q51" s="8">
        <v>4</v>
      </c>
      <c r="R51" s="8">
        <v>3</v>
      </c>
      <c r="S51" s="8">
        <v>3</v>
      </c>
      <c r="U51" s="8">
        <v>4</v>
      </c>
      <c r="V51" s="8">
        <v>4</v>
      </c>
      <c r="X51" s="8">
        <v>4</v>
      </c>
      <c r="Y51" s="8">
        <v>4</v>
      </c>
      <c r="Z51" s="8">
        <v>4</v>
      </c>
      <c r="AA51">
        <f t="shared" si="1"/>
        <v>4</v>
      </c>
    </row>
    <row r="52" spans="1:27">
      <c r="A52" s="8">
        <v>2</v>
      </c>
      <c r="B52" s="8">
        <v>2</v>
      </c>
      <c r="C52" s="8">
        <v>2</v>
      </c>
      <c r="D52" s="8" t="s">
        <v>26</v>
      </c>
      <c r="E52" s="8">
        <v>1</v>
      </c>
      <c r="G52">
        <v>51</v>
      </c>
      <c r="H52" t="s">
        <v>184</v>
      </c>
      <c r="I52" t="s">
        <v>185</v>
      </c>
      <c r="J52" t="s">
        <v>29</v>
      </c>
      <c r="K52" t="s">
        <v>30</v>
      </c>
      <c r="L52" t="s">
        <v>186</v>
      </c>
      <c r="M52" s="8">
        <v>3</v>
      </c>
      <c r="N52" s="8">
        <v>4</v>
      </c>
      <c r="O52" s="8">
        <v>3</v>
      </c>
      <c r="Q52" s="8">
        <v>2</v>
      </c>
      <c r="R52" s="8">
        <v>2</v>
      </c>
      <c r="S52" s="8">
        <v>3</v>
      </c>
      <c r="U52" s="8">
        <v>2</v>
      </c>
      <c r="V52" s="8">
        <v>2</v>
      </c>
      <c r="X52" s="8">
        <v>3</v>
      </c>
      <c r="Y52" s="8">
        <v>3</v>
      </c>
      <c r="Z52" s="8">
        <v>3</v>
      </c>
      <c r="AA52">
        <f t="shared" si="1"/>
        <v>3</v>
      </c>
    </row>
    <row r="53" spans="1:27">
      <c r="A53" s="8">
        <v>2</v>
      </c>
      <c r="B53" s="8">
        <v>4</v>
      </c>
      <c r="C53" s="8">
        <v>4</v>
      </c>
      <c r="D53" s="8" t="s">
        <v>187</v>
      </c>
      <c r="E53" s="8">
        <v>2</v>
      </c>
      <c r="G53">
        <v>52</v>
      </c>
      <c r="H53" t="s">
        <v>188</v>
      </c>
      <c r="I53" t="s">
        <v>189</v>
      </c>
      <c r="J53" t="s">
        <v>29</v>
      </c>
      <c r="K53" t="s">
        <v>30</v>
      </c>
      <c r="L53" t="s">
        <v>190</v>
      </c>
      <c r="M53" s="8">
        <v>4</v>
      </c>
      <c r="N53" s="8">
        <v>4</v>
      </c>
      <c r="O53" s="8">
        <v>3</v>
      </c>
      <c r="Q53" s="8">
        <v>3</v>
      </c>
      <c r="R53" s="8">
        <v>3</v>
      </c>
      <c r="S53" s="8">
        <v>3</v>
      </c>
      <c r="U53" s="8">
        <v>3</v>
      </c>
      <c r="V53" s="8">
        <v>3</v>
      </c>
      <c r="X53" s="8">
        <v>3</v>
      </c>
      <c r="Y53" s="8">
        <v>3</v>
      </c>
      <c r="Z53" s="8">
        <v>3</v>
      </c>
      <c r="AA53">
        <f t="shared" si="1"/>
        <v>3</v>
      </c>
    </row>
    <row r="54" spans="1:27">
      <c r="A54" s="8">
        <v>1</v>
      </c>
      <c r="B54" s="8">
        <v>3</v>
      </c>
      <c r="C54" s="8">
        <v>2</v>
      </c>
      <c r="D54" s="8" t="s">
        <v>191</v>
      </c>
      <c r="E54" s="8">
        <v>1</v>
      </c>
      <c r="G54">
        <v>53</v>
      </c>
      <c r="H54" t="s">
        <v>192</v>
      </c>
      <c r="I54" t="s">
        <v>193</v>
      </c>
      <c r="J54" t="s">
        <v>29</v>
      </c>
      <c r="K54" t="s">
        <v>30</v>
      </c>
      <c r="L54" t="s">
        <v>194</v>
      </c>
      <c r="M54" s="8">
        <v>4</v>
      </c>
      <c r="N54" s="8">
        <v>4</v>
      </c>
      <c r="O54" s="8">
        <v>4</v>
      </c>
      <c r="Q54" s="8">
        <v>3</v>
      </c>
      <c r="R54" s="8">
        <v>3</v>
      </c>
      <c r="S54" s="8">
        <v>3</v>
      </c>
      <c r="U54" s="8">
        <v>3</v>
      </c>
      <c r="V54" s="8">
        <v>3</v>
      </c>
      <c r="X54" s="8">
        <v>4</v>
      </c>
      <c r="Y54" s="8">
        <v>4</v>
      </c>
      <c r="Z54" s="8">
        <v>4</v>
      </c>
      <c r="AA54">
        <f t="shared" si="1"/>
        <v>4</v>
      </c>
    </row>
    <row r="55" spans="1:27">
      <c r="A55" s="8">
        <v>1</v>
      </c>
      <c r="B55" s="8">
        <v>2</v>
      </c>
      <c r="C55" s="8">
        <v>3</v>
      </c>
      <c r="D55" s="8" t="s">
        <v>26</v>
      </c>
      <c r="E55" s="8">
        <v>2</v>
      </c>
      <c r="G55">
        <v>54</v>
      </c>
      <c r="H55" t="s">
        <v>195</v>
      </c>
      <c r="I55" t="s">
        <v>196</v>
      </c>
      <c r="J55" t="s">
        <v>29</v>
      </c>
      <c r="K55" t="s">
        <v>30</v>
      </c>
      <c r="L55" t="s">
        <v>197</v>
      </c>
      <c r="M55" s="8">
        <v>4</v>
      </c>
      <c r="N55" s="8">
        <v>4</v>
      </c>
      <c r="O55" s="8">
        <v>4</v>
      </c>
      <c r="Q55" s="8">
        <v>3</v>
      </c>
      <c r="R55" s="8">
        <v>3</v>
      </c>
      <c r="S55" s="8">
        <v>3</v>
      </c>
      <c r="U55" s="8">
        <v>4</v>
      </c>
      <c r="V55" s="8">
        <v>2</v>
      </c>
      <c r="X55" s="8">
        <v>4</v>
      </c>
      <c r="Y55" s="8">
        <v>4</v>
      </c>
      <c r="Z55" s="8">
        <v>4</v>
      </c>
      <c r="AA55">
        <f t="shared" si="1"/>
        <v>4</v>
      </c>
    </row>
    <row r="56" spans="1:27">
      <c r="A56" s="8">
        <v>1</v>
      </c>
      <c r="B56" s="8">
        <v>4</v>
      </c>
      <c r="C56" s="8">
        <v>3</v>
      </c>
      <c r="D56" s="8" t="s">
        <v>198</v>
      </c>
      <c r="E56" s="8">
        <v>1</v>
      </c>
      <c r="G56">
        <v>55</v>
      </c>
      <c r="H56" t="s">
        <v>199</v>
      </c>
      <c r="I56" t="s">
        <v>200</v>
      </c>
      <c r="J56" t="s">
        <v>29</v>
      </c>
      <c r="K56" t="s">
        <v>30</v>
      </c>
      <c r="L56" t="s">
        <v>201</v>
      </c>
      <c r="M56" s="8">
        <v>4</v>
      </c>
      <c r="N56" s="8">
        <v>4</v>
      </c>
      <c r="O56" s="8">
        <v>3</v>
      </c>
      <c r="Q56" s="8">
        <v>4</v>
      </c>
      <c r="R56" s="8">
        <v>3</v>
      </c>
      <c r="S56" s="8">
        <v>4</v>
      </c>
      <c r="U56" s="8">
        <v>3</v>
      </c>
      <c r="V56" s="8">
        <v>4</v>
      </c>
      <c r="X56" s="8">
        <v>3</v>
      </c>
      <c r="Y56" s="8">
        <v>4</v>
      </c>
      <c r="Z56" s="8">
        <v>4</v>
      </c>
      <c r="AA56">
        <f t="shared" si="1"/>
        <v>3.66666666666667</v>
      </c>
    </row>
    <row r="57" spans="1:27">
      <c r="A57" s="8">
        <v>1</v>
      </c>
      <c r="B57" s="8">
        <v>2</v>
      </c>
      <c r="C57" s="8">
        <v>2</v>
      </c>
      <c r="D57" s="8" t="s">
        <v>79</v>
      </c>
      <c r="E57" s="8">
        <v>1</v>
      </c>
      <c r="G57">
        <v>56</v>
      </c>
      <c r="H57" t="s">
        <v>202</v>
      </c>
      <c r="I57" t="s">
        <v>112</v>
      </c>
      <c r="J57" t="s">
        <v>29</v>
      </c>
      <c r="K57" t="s">
        <v>30</v>
      </c>
      <c r="L57" t="s">
        <v>203</v>
      </c>
      <c r="M57" s="8">
        <v>1</v>
      </c>
      <c r="N57" s="8">
        <v>4</v>
      </c>
      <c r="O57" s="8">
        <v>2</v>
      </c>
      <c r="Q57" s="8">
        <v>5</v>
      </c>
      <c r="R57" s="8">
        <v>3</v>
      </c>
      <c r="S57" s="8">
        <v>2</v>
      </c>
      <c r="U57" s="8">
        <v>4</v>
      </c>
      <c r="V57" s="8">
        <v>3</v>
      </c>
      <c r="X57" s="8">
        <v>4</v>
      </c>
      <c r="Y57" s="8">
        <v>4</v>
      </c>
      <c r="Z57" s="8">
        <v>4</v>
      </c>
      <c r="AA57">
        <f t="shared" si="1"/>
        <v>4</v>
      </c>
    </row>
    <row r="58" spans="1:27">
      <c r="A58" s="8">
        <v>2</v>
      </c>
      <c r="B58" s="8">
        <v>2</v>
      </c>
      <c r="C58" s="8">
        <v>2</v>
      </c>
      <c r="D58" s="8" t="s">
        <v>79</v>
      </c>
      <c r="E58" s="8">
        <v>1</v>
      </c>
      <c r="G58">
        <v>57</v>
      </c>
      <c r="H58" t="s">
        <v>204</v>
      </c>
      <c r="I58" t="s">
        <v>62</v>
      </c>
      <c r="J58" t="s">
        <v>29</v>
      </c>
      <c r="K58" t="s">
        <v>30</v>
      </c>
      <c r="L58" t="s">
        <v>203</v>
      </c>
      <c r="M58" s="8">
        <v>1</v>
      </c>
      <c r="N58" s="8">
        <v>4</v>
      </c>
      <c r="O58" s="8">
        <v>5</v>
      </c>
      <c r="Q58" s="8">
        <v>4</v>
      </c>
      <c r="R58" s="8">
        <v>2</v>
      </c>
      <c r="S58" s="8">
        <v>4</v>
      </c>
      <c r="U58" s="8">
        <v>2</v>
      </c>
      <c r="V58" s="8">
        <v>2</v>
      </c>
      <c r="X58" s="8">
        <v>4</v>
      </c>
      <c r="Y58" s="8">
        <v>3</v>
      </c>
      <c r="Z58" s="8">
        <v>4</v>
      </c>
      <c r="AA58">
        <f t="shared" si="1"/>
        <v>3.66666666666667</v>
      </c>
    </row>
    <row r="59" spans="1:27">
      <c r="A59" s="8">
        <v>1</v>
      </c>
      <c r="B59" s="8">
        <v>3</v>
      </c>
      <c r="C59" s="8">
        <v>4</v>
      </c>
      <c r="D59" s="8" t="s">
        <v>26</v>
      </c>
      <c r="E59" s="8">
        <v>2</v>
      </c>
      <c r="G59">
        <v>58</v>
      </c>
      <c r="H59" t="s">
        <v>205</v>
      </c>
      <c r="I59" t="s">
        <v>206</v>
      </c>
      <c r="J59" t="s">
        <v>29</v>
      </c>
      <c r="K59" t="s">
        <v>30</v>
      </c>
      <c r="L59" t="s">
        <v>207</v>
      </c>
      <c r="M59" s="8">
        <v>4</v>
      </c>
      <c r="N59" s="8">
        <v>4</v>
      </c>
      <c r="O59" s="8">
        <v>3</v>
      </c>
      <c r="Q59" s="8">
        <v>4</v>
      </c>
      <c r="R59" s="8">
        <v>3</v>
      </c>
      <c r="S59" s="8">
        <v>4</v>
      </c>
      <c r="U59" s="8">
        <v>4</v>
      </c>
      <c r="V59" s="8">
        <v>3</v>
      </c>
      <c r="X59" s="8">
        <v>3</v>
      </c>
      <c r="Y59" s="8">
        <v>3</v>
      </c>
      <c r="Z59" s="8">
        <v>4</v>
      </c>
      <c r="AA59">
        <f t="shared" si="1"/>
        <v>3.33333333333333</v>
      </c>
    </row>
    <row r="60" spans="1:27">
      <c r="A60" s="8">
        <v>1</v>
      </c>
      <c r="B60" s="8">
        <v>2</v>
      </c>
      <c r="C60" s="8">
        <v>4</v>
      </c>
      <c r="D60" s="8" t="s">
        <v>75</v>
      </c>
      <c r="E60" s="8">
        <v>2</v>
      </c>
      <c r="G60">
        <v>59</v>
      </c>
      <c r="H60" t="s">
        <v>208</v>
      </c>
      <c r="I60" t="s">
        <v>209</v>
      </c>
      <c r="J60" t="s">
        <v>29</v>
      </c>
      <c r="K60" t="s">
        <v>30</v>
      </c>
      <c r="L60" t="s">
        <v>210</v>
      </c>
      <c r="M60" s="8">
        <v>2</v>
      </c>
      <c r="N60" s="8">
        <v>5</v>
      </c>
      <c r="O60" s="8">
        <v>5</v>
      </c>
      <c r="Q60" s="8">
        <v>5</v>
      </c>
      <c r="R60" s="8">
        <v>5</v>
      </c>
      <c r="S60" s="8">
        <v>4</v>
      </c>
      <c r="U60" s="8">
        <v>5</v>
      </c>
      <c r="V60" s="8">
        <v>5</v>
      </c>
      <c r="X60" s="8">
        <v>5</v>
      </c>
      <c r="Y60" s="8">
        <v>4</v>
      </c>
      <c r="Z60" s="8">
        <v>5</v>
      </c>
      <c r="AA60">
        <f t="shared" si="1"/>
        <v>4.66666666666667</v>
      </c>
    </row>
    <row r="61" spans="1:27">
      <c r="A61" s="8">
        <v>1</v>
      </c>
      <c r="B61" s="8">
        <v>2</v>
      </c>
      <c r="C61" s="8">
        <v>2</v>
      </c>
      <c r="D61" s="8" t="s">
        <v>79</v>
      </c>
      <c r="E61" s="8">
        <v>1</v>
      </c>
      <c r="G61">
        <v>60</v>
      </c>
      <c r="H61" t="s">
        <v>211</v>
      </c>
      <c r="I61" t="s">
        <v>212</v>
      </c>
      <c r="J61" t="s">
        <v>29</v>
      </c>
      <c r="K61" t="s">
        <v>30</v>
      </c>
      <c r="L61" t="s">
        <v>203</v>
      </c>
      <c r="M61" s="8">
        <v>4</v>
      </c>
      <c r="N61" s="8">
        <v>5</v>
      </c>
      <c r="O61" s="8">
        <v>5</v>
      </c>
      <c r="Q61" s="8">
        <v>5</v>
      </c>
      <c r="R61" s="8">
        <v>5</v>
      </c>
      <c r="S61" s="8">
        <v>5</v>
      </c>
      <c r="U61" s="8">
        <v>5</v>
      </c>
      <c r="V61" s="8">
        <v>5</v>
      </c>
      <c r="X61" s="8">
        <v>5</v>
      </c>
      <c r="Y61" s="8">
        <v>4</v>
      </c>
      <c r="Z61" s="8">
        <v>5</v>
      </c>
      <c r="AA61">
        <f t="shared" si="1"/>
        <v>4.66666666666667</v>
      </c>
    </row>
    <row r="62" spans="1:27">
      <c r="A62" s="8">
        <v>2</v>
      </c>
      <c r="B62" s="8">
        <v>2</v>
      </c>
      <c r="C62" s="8">
        <v>3</v>
      </c>
      <c r="D62" s="8" t="s">
        <v>187</v>
      </c>
      <c r="E62" s="8">
        <v>2</v>
      </c>
      <c r="G62">
        <v>61</v>
      </c>
      <c r="H62" t="s">
        <v>213</v>
      </c>
      <c r="I62" t="s">
        <v>169</v>
      </c>
      <c r="J62" t="s">
        <v>29</v>
      </c>
      <c r="K62" t="s">
        <v>30</v>
      </c>
      <c r="L62" t="s">
        <v>214</v>
      </c>
      <c r="M62" s="8">
        <v>4</v>
      </c>
      <c r="N62" s="8">
        <v>5</v>
      </c>
      <c r="O62" s="8">
        <v>5</v>
      </c>
      <c r="Q62" s="8">
        <v>3</v>
      </c>
      <c r="R62" s="8">
        <v>2</v>
      </c>
      <c r="S62" s="8">
        <v>4</v>
      </c>
      <c r="U62" s="8">
        <v>3</v>
      </c>
      <c r="V62" s="8">
        <v>3</v>
      </c>
      <c r="X62" s="8">
        <v>4</v>
      </c>
      <c r="Y62" s="8">
        <v>3</v>
      </c>
      <c r="Z62" s="8">
        <v>4</v>
      </c>
      <c r="AA62">
        <f t="shared" si="1"/>
        <v>3.66666666666667</v>
      </c>
    </row>
    <row r="63" spans="1:27">
      <c r="A63" s="8">
        <v>1</v>
      </c>
      <c r="B63" s="8">
        <v>2</v>
      </c>
      <c r="C63" s="8">
        <v>2</v>
      </c>
      <c r="D63" s="8" t="s">
        <v>187</v>
      </c>
      <c r="E63" s="8">
        <v>2</v>
      </c>
      <c r="G63">
        <v>62</v>
      </c>
      <c r="H63" t="s">
        <v>215</v>
      </c>
      <c r="I63" t="s">
        <v>216</v>
      </c>
      <c r="J63" t="s">
        <v>29</v>
      </c>
      <c r="K63" t="s">
        <v>30</v>
      </c>
      <c r="L63" t="s">
        <v>217</v>
      </c>
      <c r="M63" s="8">
        <v>4</v>
      </c>
      <c r="N63" s="8">
        <v>5</v>
      </c>
      <c r="O63" s="8">
        <v>4</v>
      </c>
      <c r="Q63" s="8">
        <v>5</v>
      </c>
      <c r="R63" s="8">
        <v>5</v>
      </c>
      <c r="S63" s="8">
        <v>4</v>
      </c>
      <c r="U63" s="8">
        <v>3</v>
      </c>
      <c r="V63" s="8">
        <v>3</v>
      </c>
      <c r="X63" s="8">
        <v>3</v>
      </c>
      <c r="Y63" s="8">
        <v>5</v>
      </c>
      <c r="Z63" s="8">
        <v>4</v>
      </c>
      <c r="AA63">
        <f t="shared" si="1"/>
        <v>4</v>
      </c>
    </row>
    <row r="64" spans="1:27">
      <c r="A64" s="8">
        <v>1</v>
      </c>
      <c r="B64" s="8">
        <v>2</v>
      </c>
      <c r="C64" s="8">
        <v>2</v>
      </c>
      <c r="D64" s="8" t="s">
        <v>26</v>
      </c>
      <c r="E64" s="8">
        <v>2</v>
      </c>
      <c r="G64">
        <v>63</v>
      </c>
      <c r="H64" t="s">
        <v>215</v>
      </c>
      <c r="I64" t="s">
        <v>41</v>
      </c>
      <c r="J64" t="s">
        <v>29</v>
      </c>
      <c r="K64" t="s">
        <v>30</v>
      </c>
      <c r="L64" t="s">
        <v>218</v>
      </c>
      <c r="M64" s="8">
        <v>2</v>
      </c>
      <c r="N64" s="8">
        <v>5</v>
      </c>
      <c r="O64" s="8">
        <v>5</v>
      </c>
      <c r="Q64" s="8">
        <v>5</v>
      </c>
      <c r="R64" s="8">
        <v>5</v>
      </c>
      <c r="S64" s="8">
        <v>5</v>
      </c>
      <c r="U64" s="8">
        <v>5</v>
      </c>
      <c r="V64" s="8">
        <v>5</v>
      </c>
      <c r="X64" s="8">
        <v>5</v>
      </c>
      <c r="Y64" s="8">
        <v>5</v>
      </c>
      <c r="Z64" s="8">
        <v>5</v>
      </c>
      <c r="AA64">
        <f t="shared" si="1"/>
        <v>5</v>
      </c>
    </row>
    <row r="65" spans="1:27">
      <c r="A65" s="8">
        <v>2</v>
      </c>
      <c r="B65" s="8">
        <v>3</v>
      </c>
      <c r="C65" s="8">
        <v>3</v>
      </c>
      <c r="D65" s="8" t="s">
        <v>187</v>
      </c>
      <c r="E65" s="8">
        <v>2</v>
      </c>
      <c r="G65">
        <v>64</v>
      </c>
      <c r="H65" t="s">
        <v>219</v>
      </c>
      <c r="I65" t="s">
        <v>220</v>
      </c>
      <c r="J65" t="s">
        <v>29</v>
      </c>
      <c r="K65" t="s">
        <v>30</v>
      </c>
      <c r="L65" t="s">
        <v>221</v>
      </c>
      <c r="M65" s="8">
        <v>3</v>
      </c>
      <c r="N65" s="8">
        <v>5</v>
      </c>
      <c r="O65" s="8">
        <v>4</v>
      </c>
      <c r="Q65" s="8">
        <v>4</v>
      </c>
      <c r="R65" s="8">
        <v>4</v>
      </c>
      <c r="S65" s="8">
        <v>4</v>
      </c>
      <c r="U65" s="8">
        <v>4</v>
      </c>
      <c r="V65" s="8">
        <v>4</v>
      </c>
      <c r="X65" s="8">
        <v>4</v>
      </c>
      <c r="Y65" s="8">
        <v>4</v>
      </c>
      <c r="Z65" s="8">
        <v>4</v>
      </c>
      <c r="AA65">
        <f t="shared" si="1"/>
        <v>4</v>
      </c>
    </row>
    <row r="66" spans="1:27">
      <c r="A66" s="8">
        <v>1</v>
      </c>
      <c r="B66" s="8">
        <v>2</v>
      </c>
      <c r="C66" s="8">
        <v>3</v>
      </c>
      <c r="D66" s="8" t="s">
        <v>79</v>
      </c>
      <c r="E66" s="8">
        <v>2</v>
      </c>
      <c r="G66">
        <v>65</v>
      </c>
      <c r="H66" t="s">
        <v>222</v>
      </c>
      <c r="I66" t="s">
        <v>223</v>
      </c>
      <c r="J66" t="s">
        <v>29</v>
      </c>
      <c r="K66" t="s">
        <v>30</v>
      </c>
      <c r="L66" t="s">
        <v>224</v>
      </c>
      <c r="M66" s="8">
        <v>1</v>
      </c>
      <c r="N66" s="8">
        <v>5</v>
      </c>
      <c r="O66" s="8">
        <v>5</v>
      </c>
      <c r="Q66" s="8">
        <v>4</v>
      </c>
      <c r="R66" s="8">
        <v>3</v>
      </c>
      <c r="S66" s="8">
        <v>5</v>
      </c>
      <c r="U66" s="8">
        <v>5</v>
      </c>
      <c r="V66" s="8">
        <v>4</v>
      </c>
      <c r="X66" s="8">
        <v>5</v>
      </c>
      <c r="Y66" s="8">
        <v>5</v>
      </c>
      <c r="Z66" s="8">
        <v>5</v>
      </c>
      <c r="AA66">
        <f t="shared" si="1"/>
        <v>5</v>
      </c>
    </row>
    <row r="67" spans="1:27">
      <c r="A67" s="8">
        <v>2</v>
      </c>
      <c r="B67" s="8">
        <v>2</v>
      </c>
      <c r="C67" s="8">
        <v>4</v>
      </c>
      <c r="D67" s="8" t="s">
        <v>75</v>
      </c>
      <c r="E67" s="8">
        <v>1</v>
      </c>
      <c r="G67">
        <v>66</v>
      </c>
      <c r="H67" t="s">
        <v>225</v>
      </c>
      <c r="I67" t="s">
        <v>226</v>
      </c>
      <c r="J67" t="s">
        <v>29</v>
      </c>
      <c r="K67" t="s">
        <v>30</v>
      </c>
      <c r="L67" t="s">
        <v>227</v>
      </c>
      <c r="M67" s="8">
        <v>4</v>
      </c>
      <c r="N67" s="8">
        <v>5</v>
      </c>
      <c r="O67" s="8">
        <v>5</v>
      </c>
      <c r="Q67" s="8">
        <v>5</v>
      </c>
      <c r="R67" s="8">
        <v>2</v>
      </c>
      <c r="S67" s="8">
        <v>2</v>
      </c>
      <c r="U67" s="8">
        <v>5</v>
      </c>
      <c r="V67" s="8">
        <v>2</v>
      </c>
      <c r="X67" s="8">
        <v>5</v>
      </c>
      <c r="Y67" s="8">
        <v>4</v>
      </c>
      <c r="Z67" s="8">
        <v>5</v>
      </c>
      <c r="AA67">
        <f t="shared" si="1"/>
        <v>4.66666666666667</v>
      </c>
    </row>
    <row r="68" spans="1:27">
      <c r="A68" s="8">
        <v>2</v>
      </c>
      <c r="B68" s="8">
        <v>5</v>
      </c>
      <c r="C68" s="8">
        <v>1</v>
      </c>
      <c r="D68" s="8" t="s">
        <v>79</v>
      </c>
      <c r="E68" s="8">
        <v>1</v>
      </c>
      <c r="G68">
        <v>67</v>
      </c>
      <c r="H68" t="s">
        <v>228</v>
      </c>
      <c r="I68" t="s">
        <v>229</v>
      </c>
      <c r="J68" t="s">
        <v>29</v>
      </c>
      <c r="K68" t="s">
        <v>30</v>
      </c>
      <c r="L68" t="s">
        <v>230</v>
      </c>
      <c r="M68" s="8">
        <v>1</v>
      </c>
      <c r="N68" s="8">
        <v>5</v>
      </c>
      <c r="O68" s="8">
        <v>5</v>
      </c>
      <c r="Q68" s="8">
        <v>2</v>
      </c>
      <c r="R68" s="8">
        <v>2</v>
      </c>
      <c r="S68" s="8">
        <v>2</v>
      </c>
      <c r="U68" s="8">
        <v>5</v>
      </c>
      <c r="V68" s="8">
        <v>2</v>
      </c>
      <c r="X68" s="8">
        <v>5</v>
      </c>
      <c r="Y68" s="8">
        <v>5</v>
      </c>
      <c r="Z68" s="8">
        <v>5</v>
      </c>
      <c r="AA68">
        <f t="shared" ref="AA68:AA111" si="2">(X68+Y68+Z68)/3</f>
        <v>5</v>
      </c>
    </row>
    <row r="69" spans="1:27">
      <c r="A69" s="8">
        <v>1</v>
      </c>
      <c r="B69" s="8">
        <v>4</v>
      </c>
      <c r="C69" s="8">
        <v>4</v>
      </c>
      <c r="D69" s="8" t="s">
        <v>26</v>
      </c>
      <c r="E69" s="8">
        <v>2</v>
      </c>
      <c r="G69">
        <v>68</v>
      </c>
      <c r="H69" t="s">
        <v>231</v>
      </c>
      <c r="I69" t="s">
        <v>232</v>
      </c>
      <c r="J69" t="s">
        <v>29</v>
      </c>
      <c r="K69" t="s">
        <v>30</v>
      </c>
      <c r="L69" t="s">
        <v>233</v>
      </c>
      <c r="M69" s="8">
        <v>2</v>
      </c>
      <c r="N69" s="8">
        <v>2</v>
      </c>
      <c r="O69" s="8">
        <v>4</v>
      </c>
      <c r="Q69" s="8">
        <v>2</v>
      </c>
      <c r="R69" s="8">
        <v>2</v>
      </c>
      <c r="S69" s="8">
        <v>2</v>
      </c>
      <c r="U69" s="8">
        <v>2</v>
      </c>
      <c r="V69" s="8">
        <v>2</v>
      </c>
      <c r="X69" s="8">
        <v>5</v>
      </c>
      <c r="Y69" s="8">
        <v>4</v>
      </c>
      <c r="Z69" s="8">
        <v>5</v>
      </c>
      <c r="AA69">
        <f t="shared" si="2"/>
        <v>4.66666666666667</v>
      </c>
    </row>
    <row r="70" spans="1:27">
      <c r="A70" s="8">
        <v>1</v>
      </c>
      <c r="B70" s="8">
        <v>5</v>
      </c>
      <c r="C70" s="8">
        <v>4</v>
      </c>
      <c r="D70" s="8" t="s">
        <v>234</v>
      </c>
      <c r="E70" s="8">
        <v>1</v>
      </c>
      <c r="G70">
        <v>69</v>
      </c>
      <c r="H70" t="s">
        <v>235</v>
      </c>
      <c r="I70" t="s">
        <v>236</v>
      </c>
      <c r="J70" t="s">
        <v>29</v>
      </c>
      <c r="K70" t="s">
        <v>30</v>
      </c>
      <c r="L70" t="s">
        <v>233</v>
      </c>
      <c r="M70" s="8">
        <v>4</v>
      </c>
      <c r="N70" s="8">
        <v>2</v>
      </c>
      <c r="O70" s="8">
        <v>2</v>
      </c>
      <c r="Q70" s="8">
        <v>2</v>
      </c>
      <c r="R70" s="8">
        <v>4</v>
      </c>
      <c r="S70" s="8">
        <v>2</v>
      </c>
      <c r="U70" s="8">
        <v>2</v>
      </c>
      <c r="V70" s="8">
        <v>2</v>
      </c>
      <c r="X70" s="8">
        <v>3</v>
      </c>
      <c r="Y70" s="8">
        <v>2</v>
      </c>
      <c r="Z70" s="8">
        <v>2</v>
      </c>
      <c r="AA70">
        <f t="shared" si="2"/>
        <v>2.33333333333333</v>
      </c>
    </row>
    <row r="71" spans="1:27">
      <c r="A71" s="8">
        <v>1</v>
      </c>
      <c r="B71" s="8">
        <v>3</v>
      </c>
      <c r="C71" s="8">
        <v>3</v>
      </c>
      <c r="D71" s="8" t="s">
        <v>26</v>
      </c>
      <c r="E71" s="8">
        <v>2</v>
      </c>
      <c r="G71">
        <v>70</v>
      </c>
      <c r="H71" t="s">
        <v>237</v>
      </c>
      <c r="I71" t="s">
        <v>238</v>
      </c>
      <c r="J71" t="s">
        <v>29</v>
      </c>
      <c r="K71" t="s">
        <v>30</v>
      </c>
      <c r="L71" t="s">
        <v>239</v>
      </c>
      <c r="M71" s="8">
        <v>4</v>
      </c>
      <c r="N71" s="8">
        <v>2</v>
      </c>
      <c r="O71" s="8">
        <v>2</v>
      </c>
      <c r="Q71" s="8">
        <v>2</v>
      </c>
      <c r="R71" s="8">
        <v>2</v>
      </c>
      <c r="S71" s="8">
        <v>2</v>
      </c>
      <c r="U71" s="8">
        <v>2</v>
      </c>
      <c r="V71" s="8">
        <v>2</v>
      </c>
      <c r="X71" s="8">
        <v>2</v>
      </c>
      <c r="Y71" s="8">
        <v>2</v>
      </c>
      <c r="Z71" s="8">
        <v>2</v>
      </c>
      <c r="AA71">
        <f t="shared" si="2"/>
        <v>2</v>
      </c>
    </row>
    <row r="72" spans="1:27">
      <c r="A72" s="8">
        <v>2</v>
      </c>
      <c r="B72" s="8">
        <v>4</v>
      </c>
      <c r="C72" s="8">
        <v>4</v>
      </c>
      <c r="D72" s="8" t="s">
        <v>191</v>
      </c>
      <c r="E72" s="8">
        <v>2</v>
      </c>
      <c r="G72">
        <v>71</v>
      </c>
      <c r="H72" t="s">
        <v>240</v>
      </c>
      <c r="I72" t="s">
        <v>241</v>
      </c>
      <c r="J72" t="s">
        <v>29</v>
      </c>
      <c r="K72" t="s">
        <v>30</v>
      </c>
      <c r="L72" t="s">
        <v>242</v>
      </c>
      <c r="M72" s="8">
        <v>1</v>
      </c>
      <c r="N72" s="8">
        <v>2</v>
      </c>
      <c r="O72" s="8">
        <v>3</v>
      </c>
      <c r="Q72" s="8">
        <v>2</v>
      </c>
      <c r="R72" s="8">
        <v>4</v>
      </c>
      <c r="S72" s="8">
        <v>2</v>
      </c>
      <c r="U72" s="8">
        <v>2</v>
      </c>
      <c r="V72" s="8">
        <v>2</v>
      </c>
      <c r="X72" s="8">
        <v>4</v>
      </c>
      <c r="Y72" s="8">
        <v>2</v>
      </c>
      <c r="Z72" s="8">
        <v>2</v>
      </c>
      <c r="AA72">
        <f t="shared" si="2"/>
        <v>2.66666666666667</v>
      </c>
    </row>
    <row r="73" spans="1:27">
      <c r="A73" s="8">
        <v>2</v>
      </c>
      <c r="B73" s="8">
        <v>2</v>
      </c>
      <c r="C73" s="8">
        <v>3</v>
      </c>
      <c r="D73" s="8" t="s">
        <v>187</v>
      </c>
      <c r="E73" s="8">
        <v>1</v>
      </c>
      <c r="G73">
        <v>72</v>
      </c>
      <c r="H73" t="s">
        <v>243</v>
      </c>
      <c r="I73" t="s">
        <v>244</v>
      </c>
      <c r="J73" t="s">
        <v>29</v>
      </c>
      <c r="K73" t="s">
        <v>30</v>
      </c>
      <c r="L73" t="s">
        <v>245</v>
      </c>
      <c r="M73" s="8">
        <v>2</v>
      </c>
      <c r="N73" s="8">
        <v>2</v>
      </c>
      <c r="O73" s="8">
        <v>2</v>
      </c>
      <c r="Q73" s="8">
        <v>2</v>
      </c>
      <c r="R73" s="8">
        <v>3</v>
      </c>
      <c r="S73" s="8">
        <v>2</v>
      </c>
      <c r="U73" s="8">
        <v>2</v>
      </c>
      <c r="V73" s="8">
        <v>2</v>
      </c>
      <c r="X73" s="8">
        <v>2</v>
      </c>
      <c r="Y73" s="8">
        <v>3</v>
      </c>
      <c r="Z73" s="8">
        <v>3</v>
      </c>
      <c r="AA73">
        <f t="shared" si="2"/>
        <v>2.66666666666667</v>
      </c>
    </row>
    <row r="74" spans="1:27">
      <c r="A74" s="8">
        <v>1</v>
      </c>
      <c r="B74" s="8">
        <v>3</v>
      </c>
      <c r="C74" s="8">
        <v>2</v>
      </c>
      <c r="D74" s="8" t="s">
        <v>246</v>
      </c>
      <c r="E74" s="8">
        <v>2</v>
      </c>
      <c r="G74">
        <v>73</v>
      </c>
      <c r="H74" t="s">
        <v>247</v>
      </c>
      <c r="I74" t="s">
        <v>248</v>
      </c>
      <c r="J74" t="s">
        <v>29</v>
      </c>
      <c r="K74" t="s">
        <v>30</v>
      </c>
      <c r="L74" t="s">
        <v>249</v>
      </c>
      <c r="M74" s="8">
        <v>2</v>
      </c>
      <c r="N74" s="8">
        <v>3</v>
      </c>
      <c r="O74" s="8">
        <v>3</v>
      </c>
      <c r="Q74" s="8">
        <v>3</v>
      </c>
      <c r="R74" s="8">
        <v>2</v>
      </c>
      <c r="S74" s="8">
        <v>2</v>
      </c>
      <c r="U74" s="8">
        <v>2</v>
      </c>
      <c r="V74" s="8">
        <v>2</v>
      </c>
      <c r="X74" s="8">
        <v>3</v>
      </c>
      <c r="Y74" s="8">
        <v>2</v>
      </c>
      <c r="Z74" s="8">
        <v>2</v>
      </c>
      <c r="AA74">
        <f t="shared" si="2"/>
        <v>2.33333333333333</v>
      </c>
    </row>
    <row r="75" spans="1:27">
      <c r="A75" s="8">
        <v>2</v>
      </c>
      <c r="B75" s="8">
        <v>2</v>
      </c>
      <c r="C75" s="8">
        <v>2</v>
      </c>
      <c r="D75" s="8" t="s">
        <v>26</v>
      </c>
      <c r="E75" s="8">
        <v>2</v>
      </c>
      <c r="G75">
        <v>74</v>
      </c>
      <c r="H75" t="s">
        <v>250</v>
      </c>
      <c r="I75" t="s">
        <v>169</v>
      </c>
      <c r="J75" t="s">
        <v>29</v>
      </c>
      <c r="K75" t="s">
        <v>30</v>
      </c>
      <c r="L75" t="s">
        <v>251</v>
      </c>
      <c r="M75" s="8">
        <v>2</v>
      </c>
      <c r="N75" s="8">
        <v>3</v>
      </c>
      <c r="O75" s="8">
        <v>2</v>
      </c>
      <c r="Q75" s="8">
        <v>3</v>
      </c>
      <c r="R75" s="8">
        <v>2</v>
      </c>
      <c r="S75" s="8">
        <v>3</v>
      </c>
      <c r="U75" s="8">
        <v>3</v>
      </c>
      <c r="V75" s="8">
        <v>3</v>
      </c>
      <c r="X75" s="8">
        <v>3</v>
      </c>
      <c r="Y75" s="8">
        <v>3</v>
      </c>
      <c r="Z75" s="8">
        <v>3</v>
      </c>
      <c r="AA75">
        <f t="shared" si="2"/>
        <v>3</v>
      </c>
    </row>
    <row r="76" spans="1:27">
      <c r="A76" s="8">
        <v>2</v>
      </c>
      <c r="B76" s="8">
        <v>3</v>
      </c>
      <c r="C76" s="8">
        <v>3</v>
      </c>
      <c r="D76" s="8" t="s">
        <v>187</v>
      </c>
      <c r="E76" s="8">
        <v>2</v>
      </c>
      <c r="G76">
        <v>75</v>
      </c>
      <c r="H76" t="s">
        <v>252</v>
      </c>
      <c r="I76" t="s">
        <v>253</v>
      </c>
      <c r="J76" t="s">
        <v>29</v>
      </c>
      <c r="K76" t="s">
        <v>30</v>
      </c>
      <c r="L76" t="s">
        <v>254</v>
      </c>
      <c r="M76" s="8">
        <v>4</v>
      </c>
      <c r="N76" s="8">
        <v>3</v>
      </c>
      <c r="O76" s="8">
        <v>3</v>
      </c>
      <c r="Q76" s="8">
        <v>2</v>
      </c>
      <c r="R76" s="8">
        <v>2</v>
      </c>
      <c r="S76" s="8">
        <v>2</v>
      </c>
      <c r="U76" s="8">
        <v>2</v>
      </c>
      <c r="V76" s="8">
        <v>4</v>
      </c>
      <c r="X76" s="8">
        <v>4</v>
      </c>
      <c r="Y76" s="8">
        <v>3</v>
      </c>
      <c r="Z76" s="8">
        <v>3</v>
      </c>
      <c r="AA76">
        <f t="shared" si="2"/>
        <v>3.33333333333333</v>
      </c>
    </row>
    <row r="77" spans="1:27">
      <c r="A77" s="8">
        <v>2</v>
      </c>
      <c r="B77" s="8">
        <v>5</v>
      </c>
      <c r="C77" s="8">
        <v>1</v>
      </c>
      <c r="D77" s="8" t="s">
        <v>79</v>
      </c>
      <c r="E77" s="8">
        <v>1</v>
      </c>
      <c r="G77">
        <v>76</v>
      </c>
      <c r="H77" t="s">
        <v>255</v>
      </c>
      <c r="I77" t="s">
        <v>256</v>
      </c>
      <c r="J77" t="s">
        <v>29</v>
      </c>
      <c r="K77" t="s">
        <v>30</v>
      </c>
      <c r="L77" t="s">
        <v>257</v>
      </c>
      <c r="M77" s="8">
        <v>3</v>
      </c>
      <c r="N77" s="8">
        <v>3</v>
      </c>
      <c r="O77" s="8">
        <v>3</v>
      </c>
      <c r="Q77" s="8">
        <v>3</v>
      </c>
      <c r="R77" s="8">
        <v>3</v>
      </c>
      <c r="S77" s="8">
        <v>3</v>
      </c>
      <c r="U77" s="8">
        <v>3</v>
      </c>
      <c r="V77" s="8">
        <v>3</v>
      </c>
      <c r="X77" s="8">
        <v>2</v>
      </c>
      <c r="Y77" s="8">
        <v>4</v>
      </c>
      <c r="Z77" s="8">
        <v>3</v>
      </c>
      <c r="AA77">
        <f t="shared" si="2"/>
        <v>3</v>
      </c>
    </row>
    <row r="78" spans="1:27">
      <c r="A78" s="8">
        <v>1</v>
      </c>
      <c r="B78" s="8">
        <v>2</v>
      </c>
      <c r="C78" s="8">
        <v>1</v>
      </c>
      <c r="D78" s="8" t="s">
        <v>79</v>
      </c>
      <c r="E78" s="8">
        <v>2</v>
      </c>
      <c r="G78">
        <v>77</v>
      </c>
      <c r="H78" t="s">
        <v>258</v>
      </c>
      <c r="I78" t="s">
        <v>259</v>
      </c>
      <c r="J78" t="s">
        <v>29</v>
      </c>
      <c r="K78" t="s">
        <v>30</v>
      </c>
      <c r="L78" t="s">
        <v>260</v>
      </c>
      <c r="M78" s="8">
        <v>3</v>
      </c>
      <c r="N78" s="8">
        <v>3</v>
      </c>
      <c r="O78" s="8">
        <v>3</v>
      </c>
      <c r="Q78" s="8">
        <v>4</v>
      </c>
      <c r="R78" s="8">
        <v>2</v>
      </c>
      <c r="S78" s="8">
        <v>4</v>
      </c>
      <c r="U78" s="8">
        <v>4</v>
      </c>
      <c r="V78" s="8">
        <v>3</v>
      </c>
      <c r="X78" s="8">
        <v>4</v>
      </c>
      <c r="Y78" s="8">
        <v>3</v>
      </c>
      <c r="Z78" s="8">
        <v>3</v>
      </c>
      <c r="AA78">
        <f t="shared" si="2"/>
        <v>3.33333333333333</v>
      </c>
    </row>
    <row r="79" spans="1:27">
      <c r="A79" s="8">
        <v>1</v>
      </c>
      <c r="B79" s="8">
        <v>1</v>
      </c>
      <c r="C79" s="8">
        <v>1</v>
      </c>
      <c r="D79" s="8" t="s">
        <v>261</v>
      </c>
      <c r="E79" s="8">
        <v>1</v>
      </c>
      <c r="G79">
        <v>78</v>
      </c>
      <c r="H79" t="s">
        <v>262</v>
      </c>
      <c r="I79" t="s">
        <v>263</v>
      </c>
      <c r="J79" t="s">
        <v>29</v>
      </c>
      <c r="K79" t="s">
        <v>30</v>
      </c>
      <c r="L79" t="s">
        <v>260</v>
      </c>
      <c r="M79" s="8">
        <v>3</v>
      </c>
      <c r="N79" s="8">
        <v>4</v>
      </c>
      <c r="O79" s="8">
        <v>5</v>
      </c>
      <c r="Q79" s="8">
        <v>3</v>
      </c>
      <c r="R79" s="8">
        <v>3</v>
      </c>
      <c r="S79" s="8">
        <v>3</v>
      </c>
      <c r="U79" s="8">
        <v>3</v>
      </c>
      <c r="V79" s="8">
        <v>2</v>
      </c>
      <c r="X79" s="8">
        <v>4</v>
      </c>
      <c r="Y79" s="8">
        <v>4</v>
      </c>
      <c r="Z79" s="8">
        <v>4</v>
      </c>
      <c r="AA79">
        <f t="shared" si="2"/>
        <v>4</v>
      </c>
    </row>
    <row r="80" spans="1:27">
      <c r="A80" s="8">
        <v>1</v>
      </c>
      <c r="B80" s="8">
        <v>2</v>
      </c>
      <c r="C80" s="8">
        <v>4</v>
      </c>
      <c r="D80" s="8" t="s">
        <v>234</v>
      </c>
      <c r="E80" s="8">
        <v>1</v>
      </c>
      <c r="G80">
        <v>79</v>
      </c>
      <c r="H80" t="s">
        <v>264</v>
      </c>
      <c r="I80" t="s">
        <v>212</v>
      </c>
      <c r="J80" t="s">
        <v>29</v>
      </c>
      <c r="K80" t="s">
        <v>30</v>
      </c>
      <c r="L80" t="s">
        <v>265</v>
      </c>
      <c r="M80" s="8">
        <v>3</v>
      </c>
      <c r="N80" s="8">
        <v>4</v>
      </c>
      <c r="O80" s="8">
        <v>4</v>
      </c>
      <c r="Q80" s="8">
        <v>3</v>
      </c>
      <c r="R80" s="8">
        <v>3</v>
      </c>
      <c r="S80" s="8">
        <v>3</v>
      </c>
      <c r="U80" s="8">
        <v>3</v>
      </c>
      <c r="V80" s="8">
        <v>4</v>
      </c>
      <c r="X80" s="8">
        <v>4</v>
      </c>
      <c r="Y80" s="8">
        <v>3</v>
      </c>
      <c r="Z80" s="8">
        <v>3</v>
      </c>
      <c r="AA80">
        <f t="shared" si="2"/>
        <v>3.33333333333333</v>
      </c>
    </row>
    <row r="81" spans="1:27">
      <c r="A81" s="8">
        <v>1</v>
      </c>
      <c r="B81" s="8">
        <v>5</v>
      </c>
      <c r="C81" s="8">
        <v>1</v>
      </c>
      <c r="D81" s="8" t="s">
        <v>79</v>
      </c>
      <c r="E81" s="8">
        <v>1</v>
      </c>
      <c r="G81">
        <v>80</v>
      </c>
      <c r="H81" t="s">
        <v>266</v>
      </c>
      <c r="I81" t="s">
        <v>267</v>
      </c>
      <c r="J81" t="s">
        <v>29</v>
      </c>
      <c r="K81" t="s">
        <v>30</v>
      </c>
      <c r="L81" t="s">
        <v>268</v>
      </c>
      <c r="M81" s="8">
        <v>2</v>
      </c>
      <c r="N81" s="8">
        <v>4</v>
      </c>
      <c r="O81" s="8">
        <v>3</v>
      </c>
      <c r="Q81" s="8">
        <v>5</v>
      </c>
      <c r="R81" s="8">
        <v>4</v>
      </c>
      <c r="S81" s="8">
        <v>4</v>
      </c>
      <c r="U81" s="8">
        <v>5</v>
      </c>
      <c r="V81" s="8">
        <v>3</v>
      </c>
      <c r="X81" s="8">
        <v>4</v>
      </c>
      <c r="Y81" s="8">
        <v>4</v>
      </c>
      <c r="Z81" s="8">
        <v>4</v>
      </c>
      <c r="AA81">
        <f t="shared" si="2"/>
        <v>4</v>
      </c>
    </row>
    <row r="82" spans="1:27">
      <c r="A82" s="8">
        <v>1</v>
      </c>
      <c r="B82" s="8">
        <v>2</v>
      </c>
      <c r="C82" s="8">
        <v>3</v>
      </c>
      <c r="D82" s="8" t="s">
        <v>187</v>
      </c>
      <c r="E82" s="8">
        <v>2</v>
      </c>
      <c r="G82">
        <v>81</v>
      </c>
      <c r="H82" t="s">
        <v>269</v>
      </c>
      <c r="I82" t="s">
        <v>169</v>
      </c>
      <c r="J82" t="s">
        <v>29</v>
      </c>
      <c r="K82" t="s">
        <v>30</v>
      </c>
      <c r="L82" t="s">
        <v>270</v>
      </c>
      <c r="M82" s="8">
        <v>2</v>
      </c>
      <c r="N82" s="8">
        <v>4</v>
      </c>
      <c r="O82" s="8">
        <v>4</v>
      </c>
      <c r="Q82" s="8">
        <v>3</v>
      </c>
      <c r="R82" s="8">
        <v>3</v>
      </c>
      <c r="S82" s="8">
        <v>3</v>
      </c>
      <c r="U82" s="8">
        <v>3</v>
      </c>
      <c r="V82" s="8">
        <v>3</v>
      </c>
      <c r="X82" s="8">
        <v>4</v>
      </c>
      <c r="Y82" s="8">
        <v>4</v>
      </c>
      <c r="Z82" s="8">
        <v>3</v>
      </c>
      <c r="AA82">
        <f t="shared" si="2"/>
        <v>3.66666666666667</v>
      </c>
    </row>
    <row r="83" spans="1:27">
      <c r="A83" s="8">
        <v>2</v>
      </c>
      <c r="B83" s="8">
        <v>3</v>
      </c>
      <c r="C83" s="8">
        <v>4</v>
      </c>
      <c r="D83" s="8" t="s">
        <v>271</v>
      </c>
      <c r="E83" s="8">
        <v>1</v>
      </c>
      <c r="G83">
        <v>82</v>
      </c>
      <c r="H83" t="s">
        <v>272</v>
      </c>
      <c r="I83" t="s">
        <v>273</v>
      </c>
      <c r="J83" t="s">
        <v>29</v>
      </c>
      <c r="K83" t="s">
        <v>30</v>
      </c>
      <c r="L83" t="s">
        <v>274</v>
      </c>
      <c r="M83" s="8">
        <v>1</v>
      </c>
      <c r="N83" s="8">
        <v>4</v>
      </c>
      <c r="O83" s="8">
        <v>5</v>
      </c>
      <c r="Q83" s="8">
        <v>5</v>
      </c>
      <c r="R83" s="8">
        <v>2</v>
      </c>
      <c r="S83" s="8">
        <v>4</v>
      </c>
      <c r="U83" s="8">
        <v>3</v>
      </c>
      <c r="V83" s="8">
        <v>4</v>
      </c>
      <c r="X83" s="8">
        <v>5</v>
      </c>
      <c r="Y83" s="8">
        <v>3</v>
      </c>
      <c r="Z83" s="8">
        <v>4</v>
      </c>
      <c r="AA83">
        <f t="shared" si="2"/>
        <v>4</v>
      </c>
    </row>
    <row r="84" spans="1:27">
      <c r="A84" s="8">
        <v>2</v>
      </c>
      <c r="B84" s="8">
        <v>3</v>
      </c>
      <c r="C84" s="8">
        <v>3</v>
      </c>
      <c r="D84" s="8" t="s">
        <v>187</v>
      </c>
      <c r="E84" s="8">
        <v>1</v>
      </c>
      <c r="G84">
        <v>83</v>
      </c>
      <c r="H84" t="s">
        <v>275</v>
      </c>
      <c r="I84" t="s">
        <v>276</v>
      </c>
      <c r="J84" t="s">
        <v>29</v>
      </c>
      <c r="K84" t="s">
        <v>30</v>
      </c>
      <c r="L84" t="s">
        <v>277</v>
      </c>
      <c r="M84" s="8">
        <v>4</v>
      </c>
      <c r="N84" s="8">
        <v>4</v>
      </c>
      <c r="O84" s="8">
        <v>3</v>
      </c>
      <c r="Q84" s="8">
        <v>4</v>
      </c>
      <c r="R84" s="8">
        <v>3</v>
      </c>
      <c r="S84" s="8">
        <v>4</v>
      </c>
      <c r="U84" s="8">
        <v>3</v>
      </c>
      <c r="V84" s="8">
        <v>3</v>
      </c>
      <c r="X84" s="8">
        <v>4</v>
      </c>
      <c r="Y84" s="8">
        <v>4</v>
      </c>
      <c r="Z84" s="8">
        <v>3</v>
      </c>
      <c r="AA84">
        <f t="shared" si="2"/>
        <v>3.66666666666667</v>
      </c>
    </row>
    <row r="85" spans="1:27">
      <c r="A85" s="8">
        <v>2</v>
      </c>
      <c r="B85" s="8">
        <v>3</v>
      </c>
      <c r="C85" s="8">
        <v>4</v>
      </c>
      <c r="D85" s="8" t="s">
        <v>26</v>
      </c>
      <c r="E85" s="8">
        <v>1</v>
      </c>
      <c r="G85">
        <v>84</v>
      </c>
      <c r="H85" t="s">
        <v>278</v>
      </c>
      <c r="I85" t="s">
        <v>279</v>
      </c>
      <c r="J85" t="s">
        <v>29</v>
      </c>
      <c r="K85" t="s">
        <v>30</v>
      </c>
      <c r="L85" t="s">
        <v>280</v>
      </c>
      <c r="M85" s="8">
        <v>3</v>
      </c>
      <c r="N85" s="8">
        <v>4</v>
      </c>
      <c r="O85" s="8">
        <v>3</v>
      </c>
      <c r="Q85" s="8">
        <v>4</v>
      </c>
      <c r="R85" s="8">
        <v>5</v>
      </c>
      <c r="S85" s="8">
        <v>3</v>
      </c>
      <c r="U85" s="8">
        <v>4</v>
      </c>
      <c r="V85" s="8">
        <v>5</v>
      </c>
      <c r="X85" s="8">
        <v>5</v>
      </c>
      <c r="Y85" s="8">
        <v>3</v>
      </c>
      <c r="Z85" s="8">
        <v>3</v>
      </c>
      <c r="AA85">
        <f t="shared" si="2"/>
        <v>3.66666666666667</v>
      </c>
    </row>
    <row r="86" spans="1:27">
      <c r="A86" s="8">
        <v>2</v>
      </c>
      <c r="B86" s="8">
        <v>3</v>
      </c>
      <c r="C86" s="8">
        <v>3</v>
      </c>
      <c r="D86" s="8" t="s">
        <v>26</v>
      </c>
      <c r="E86" s="8">
        <v>1</v>
      </c>
      <c r="G86">
        <v>85</v>
      </c>
      <c r="H86" t="s">
        <v>281</v>
      </c>
      <c r="I86" t="s">
        <v>282</v>
      </c>
      <c r="J86" t="s">
        <v>29</v>
      </c>
      <c r="K86" t="s">
        <v>30</v>
      </c>
      <c r="L86" t="s">
        <v>283</v>
      </c>
      <c r="M86" s="8">
        <v>3</v>
      </c>
      <c r="N86" s="8">
        <v>4</v>
      </c>
      <c r="O86" s="8">
        <v>3</v>
      </c>
      <c r="Q86" s="8">
        <v>3</v>
      </c>
      <c r="R86" s="8">
        <v>4</v>
      </c>
      <c r="S86" s="8">
        <v>4</v>
      </c>
      <c r="U86" s="8">
        <v>3</v>
      </c>
      <c r="V86" s="8">
        <v>4</v>
      </c>
      <c r="X86" s="8">
        <v>3</v>
      </c>
      <c r="Y86" s="8">
        <v>4</v>
      </c>
      <c r="Z86" s="8">
        <v>3</v>
      </c>
      <c r="AA86">
        <f t="shared" si="2"/>
        <v>3.33333333333333</v>
      </c>
    </row>
    <row r="87" spans="1:27">
      <c r="A87" s="8">
        <v>2</v>
      </c>
      <c r="B87" s="8">
        <v>2</v>
      </c>
      <c r="C87" s="8">
        <v>4</v>
      </c>
      <c r="D87" s="8" t="s">
        <v>26</v>
      </c>
      <c r="E87" s="8">
        <v>2</v>
      </c>
      <c r="G87">
        <v>86</v>
      </c>
      <c r="H87" t="s">
        <v>284</v>
      </c>
      <c r="I87" t="s">
        <v>285</v>
      </c>
      <c r="J87" t="s">
        <v>29</v>
      </c>
      <c r="K87" t="s">
        <v>30</v>
      </c>
      <c r="L87" t="s">
        <v>286</v>
      </c>
      <c r="M87" s="8">
        <v>2</v>
      </c>
      <c r="N87" s="8">
        <v>4</v>
      </c>
      <c r="O87" s="8">
        <v>5</v>
      </c>
      <c r="Q87" s="8">
        <v>3</v>
      </c>
      <c r="R87" s="8">
        <v>4</v>
      </c>
      <c r="S87" s="8">
        <v>5</v>
      </c>
      <c r="U87" s="8">
        <v>4</v>
      </c>
      <c r="V87" s="8">
        <v>4</v>
      </c>
      <c r="X87" s="8">
        <v>4</v>
      </c>
      <c r="Y87" s="8">
        <v>3</v>
      </c>
      <c r="Z87" s="8">
        <v>3</v>
      </c>
      <c r="AA87">
        <f t="shared" si="2"/>
        <v>3.33333333333333</v>
      </c>
    </row>
    <row r="88" spans="1:27">
      <c r="A88" s="8">
        <v>2</v>
      </c>
      <c r="B88" s="8">
        <v>2</v>
      </c>
      <c r="C88" s="8">
        <v>3</v>
      </c>
      <c r="D88" s="8" t="s">
        <v>287</v>
      </c>
      <c r="E88" s="8">
        <v>2</v>
      </c>
      <c r="G88">
        <v>87</v>
      </c>
      <c r="H88" t="s">
        <v>288</v>
      </c>
      <c r="I88" t="s">
        <v>289</v>
      </c>
      <c r="J88" t="s">
        <v>29</v>
      </c>
      <c r="K88" t="s">
        <v>30</v>
      </c>
      <c r="L88" t="s">
        <v>290</v>
      </c>
      <c r="M88" s="8">
        <v>4</v>
      </c>
      <c r="N88" s="8">
        <v>5</v>
      </c>
      <c r="O88" s="8">
        <v>4</v>
      </c>
      <c r="Q88" s="8">
        <v>5</v>
      </c>
      <c r="R88" s="8">
        <v>2</v>
      </c>
      <c r="S88" s="8">
        <v>2</v>
      </c>
      <c r="U88" s="8">
        <v>4</v>
      </c>
      <c r="V88" s="8">
        <v>4</v>
      </c>
      <c r="X88" s="8">
        <v>4</v>
      </c>
      <c r="Y88" s="8">
        <v>4</v>
      </c>
      <c r="Z88" s="8">
        <v>4</v>
      </c>
      <c r="AA88">
        <f t="shared" si="2"/>
        <v>4</v>
      </c>
    </row>
    <row r="89" spans="1:27">
      <c r="A89" s="8">
        <v>2</v>
      </c>
      <c r="B89" s="8">
        <v>3</v>
      </c>
      <c r="C89" s="8">
        <v>3</v>
      </c>
      <c r="D89" s="8" t="s">
        <v>26</v>
      </c>
      <c r="E89" s="8">
        <v>2</v>
      </c>
      <c r="G89">
        <v>88</v>
      </c>
      <c r="H89" t="s">
        <v>291</v>
      </c>
      <c r="I89" t="s">
        <v>292</v>
      </c>
      <c r="J89" t="s">
        <v>29</v>
      </c>
      <c r="K89" t="s">
        <v>30</v>
      </c>
      <c r="L89" t="s">
        <v>293</v>
      </c>
      <c r="M89" s="8">
        <v>3</v>
      </c>
      <c r="N89" s="8">
        <v>5</v>
      </c>
      <c r="O89" s="8">
        <v>5</v>
      </c>
      <c r="Q89" s="8">
        <v>2</v>
      </c>
      <c r="R89" s="8">
        <v>2</v>
      </c>
      <c r="S89" s="8">
        <v>2</v>
      </c>
      <c r="U89" s="8">
        <v>5</v>
      </c>
      <c r="V89" s="8">
        <v>2</v>
      </c>
      <c r="X89" s="8">
        <v>5</v>
      </c>
      <c r="Y89" s="8">
        <v>5</v>
      </c>
      <c r="Z89" s="8">
        <v>5</v>
      </c>
      <c r="AA89">
        <f t="shared" si="2"/>
        <v>5</v>
      </c>
    </row>
    <row r="90" spans="1:27">
      <c r="A90" s="8">
        <v>1</v>
      </c>
      <c r="B90" s="8">
        <v>3</v>
      </c>
      <c r="C90" s="8">
        <v>3</v>
      </c>
      <c r="D90" s="8" t="s">
        <v>294</v>
      </c>
      <c r="E90" s="8">
        <v>1</v>
      </c>
      <c r="G90">
        <v>89</v>
      </c>
      <c r="H90" t="s">
        <v>295</v>
      </c>
      <c r="I90" t="s">
        <v>296</v>
      </c>
      <c r="J90" t="s">
        <v>29</v>
      </c>
      <c r="K90" t="s">
        <v>30</v>
      </c>
      <c r="L90" t="s">
        <v>297</v>
      </c>
      <c r="M90" s="8">
        <v>4</v>
      </c>
      <c r="N90" s="8">
        <v>5</v>
      </c>
      <c r="O90" s="8">
        <v>3</v>
      </c>
      <c r="Q90" s="8">
        <v>3</v>
      </c>
      <c r="R90" s="8">
        <v>2</v>
      </c>
      <c r="S90" s="8">
        <v>4</v>
      </c>
      <c r="U90" s="8">
        <v>4</v>
      </c>
      <c r="V90" s="8">
        <v>5</v>
      </c>
      <c r="X90" s="8">
        <v>4</v>
      </c>
      <c r="Y90" s="8">
        <v>3</v>
      </c>
      <c r="Z90" s="8">
        <v>4</v>
      </c>
      <c r="AA90">
        <f t="shared" si="2"/>
        <v>3.66666666666667</v>
      </c>
    </row>
    <row r="91" spans="1:27">
      <c r="A91" s="8">
        <v>2</v>
      </c>
      <c r="B91" s="8">
        <v>2</v>
      </c>
      <c r="C91" s="8">
        <v>4</v>
      </c>
      <c r="D91" s="8" t="s">
        <v>114</v>
      </c>
      <c r="E91" s="8">
        <v>2</v>
      </c>
      <c r="G91">
        <v>90</v>
      </c>
      <c r="H91" t="s">
        <v>298</v>
      </c>
      <c r="I91" t="s">
        <v>299</v>
      </c>
      <c r="J91" t="s">
        <v>29</v>
      </c>
      <c r="K91" t="s">
        <v>30</v>
      </c>
      <c r="L91" t="s">
        <v>300</v>
      </c>
      <c r="M91" s="8">
        <v>1</v>
      </c>
      <c r="N91" s="8">
        <v>5</v>
      </c>
      <c r="O91" s="8">
        <v>5</v>
      </c>
      <c r="Q91" s="8">
        <v>5</v>
      </c>
      <c r="R91" s="8">
        <v>3</v>
      </c>
      <c r="S91" s="8">
        <v>5</v>
      </c>
      <c r="U91" s="8">
        <v>4</v>
      </c>
      <c r="V91" s="8">
        <v>4</v>
      </c>
      <c r="X91" s="8">
        <v>5</v>
      </c>
      <c r="Y91" s="8">
        <v>5</v>
      </c>
      <c r="Z91" s="8">
        <v>5</v>
      </c>
      <c r="AA91">
        <f t="shared" si="2"/>
        <v>5</v>
      </c>
    </row>
    <row r="92" spans="1:27">
      <c r="A92" s="8">
        <v>2</v>
      </c>
      <c r="B92" s="8">
        <v>3</v>
      </c>
      <c r="C92" s="8">
        <v>4</v>
      </c>
      <c r="D92" s="8" t="s">
        <v>26</v>
      </c>
      <c r="E92" s="8">
        <v>1</v>
      </c>
      <c r="G92">
        <v>91</v>
      </c>
      <c r="H92" t="s">
        <v>301</v>
      </c>
      <c r="I92" t="s">
        <v>302</v>
      </c>
      <c r="J92" t="s">
        <v>29</v>
      </c>
      <c r="K92" t="s">
        <v>30</v>
      </c>
      <c r="L92" t="s">
        <v>303</v>
      </c>
      <c r="M92" s="8">
        <v>2</v>
      </c>
      <c r="N92" s="8">
        <v>5</v>
      </c>
      <c r="O92" s="8">
        <v>4</v>
      </c>
      <c r="Q92" s="8">
        <v>5</v>
      </c>
      <c r="R92" s="8">
        <v>5</v>
      </c>
      <c r="S92" s="8">
        <v>5</v>
      </c>
      <c r="U92" s="8">
        <v>5</v>
      </c>
      <c r="V92" s="8">
        <v>5</v>
      </c>
      <c r="X92" s="8">
        <v>5</v>
      </c>
      <c r="Y92" s="8">
        <v>5</v>
      </c>
      <c r="Z92" s="8">
        <v>5</v>
      </c>
      <c r="AA92">
        <f t="shared" si="2"/>
        <v>5</v>
      </c>
    </row>
    <row r="93" spans="1:27">
      <c r="A93" s="8">
        <v>2</v>
      </c>
      <c r="B93" s="8">
        <v>3</v>
      </c>
      <c r="C93" s="8">
        <v>3</v>
      </c>
      <c r="D93" s="8" t="s">
        <v>114</v>
      </c>
      <c r="E93" s="8">
        <v>2</v>
      </c>
      <c r="G93">
        <v>92</v>
      </c>
      <c r="H93" t="s">
        <v>304</v>
      </c>
      <c r="I93" t="s">
        <v>305</v>
      </c>
      <c r="J93" t="s">
        <v>29</v>
      </c>
      <c r="K93" t="s">
        <v>30</v>
      </c>
      <c r="L93" t="s">
        <v>306</v>
      </c>
      <c r="M93" s="8">
        <v>2</v>
      </c>
      <c r="N93" s="8">
        <v>5</v>
      </c>
      <c r="O93" s="8">
        <v>5</v>
      </c>
      <c r="Q93" s="8">
        <v>5</v>
      </c>
      <c r="R93" s="8">
        <v>2</v>
      </c>
      <c r="S93" s="8">
        <v>3</v>
      </c>
      <c r="U93" s="8">
        <v>4</v>
      </c>
      <c r="V93" s="8">
        <v>4</v>
      </c>
      <c r="X93" s="8">
        <v>4</v>
      </c>
      <c r="Y93" s="8">
        <v>4</v>
      </c>
      <c r="Z93" s="8">
        <v>4</v>
      </c>
      <c r="AA93">
        <f t="shared" si="2"/>
        <v>4</v>
      </c>
    </row>
    <row r="94" spans="1:27">
      <c r="A94" s="8">
        <v>2</v>
      </c>
      <c r="B94" s="8">
        <v>2</v>
      </c>
      <c r="C94" s="8">
        <v>3</v>
      </c>
      <c r="D94" s="8" t="s">
        <v>26</v>
      </c>
      <c r="E94" s="8">
        <v>2</v>
      </c>
      <c r="G94">
        <v>93</v>
      </c>
      <c r="H94" t="s">
        <v>307</v>
      </c>
      <c r="I94" t="s">
        <v>308</v>
      </c>
      <c r="J94" t="s">
        <v>29</v>
      </c>
      <c r="K94" t="s">
        <v>30</v>
      </c>
      <c r="L94" t="s">
        <v>186</v>
      </c>
      <c r="M94" s="8">
        <v>1</v>
      </c>
      <c r="N94" s="8">
        <v>2</v>
      </c>
      <c r="O94" s="8">
        <v>2</v>
      </c>
      <c r="Q94" s="8">
        <v>2</v>
      </c>
      <c r="R94" s="8">
        <v>2</v>
      </c>
      <c r="S94" s="8">
        <v>2</v>
      </c>
      <c r="U94" s="8">
        <v>3</v>
      </c>
      <c r="V94" s="8">
        <v>5</v>
      </c>
      <c r="X94" s="8">
        <v>5</v>
      </c>
      <c r="Y94" s="8">
        <v>4</v>
      </c>
      <c r="Z94" s="8">
        <v>4</v>
      </c>
      <c r="AA94">
        <f t="shared" si="2"/>
        <v>4.33333333333333</v>
      </c>
    </row>
    <row r="95" spans="1:27">
      <c r="A95" s="8">
        <v>2</v>
      </c>
      <c r="B95" s="8">
        <v>2</v>
      </c>
      <c r="C95" s="8">
        <v>3</v>
      </c>
      <c r="D95" s="8" t="s">
        <v>39</v>
      </c>
      <c r="E95" s="8">
        <v>2</v>
      </c>
      <c r="G95">
        <v>94</v>
      </c>
      <c r="H95" t="s">
        <v>309</v>
      </c>
      <c r="I95" t="s">
        <v>310</v>
      </c>
      <c r="J95" t="s">
        <v>29</v>
      </c>
      <c r="K95" t="s">
        <v>30</v>
      </c>
      <c r="L95" t="s">
        <v>311</v>
      </c>
      <c r="M95" s="8">
        <v>1</v>
      </c>
      <c r="N95" s="8">
        <v>3</v>
      </c>
      <c r="O95" s="8">
        <v>3</v>
      </c>
      <c r="Q95" s="8">
        <v>3</v>
      </c>
      <c r="R95" s="8">
        <v>3</v>
      </c>
      <c r="S95" s="8">
        <v>3</v>
      </c>
      <c r="U95" s="8">
        <v>3</v>
      </c>
      <c r="V95" s="8">
        <v>3</v>
      </c>
      <c r="X95" s="8">
        <v>3</v>
      </c>
      <c r="Y95" s="8">
        <v>3</v>
      </c>
      <c r="Z95" s="8">
        <v>3</v>
      </c>
      <c r="AA95">
        <f t="shared" si="2"/>
        <v>3</v>
      </c>
    </row>
    <row r="96" spans="1:27">
      <c r="A96" s="8">
        <v>2</v>
      </c>
      <c r="B96" s="8">
        <v>3</v>
      </c>
      <c r="C96" s="8">
        <v>3</v>
      </c>
      <c r="D96" s="8" t="s">
        <v>312</v>
      </c>
      <c r="E96" s="8">
        <v>1</v>
      </c>
      <c r="G96">
        <v>95</v>
      </c>
      <c r="H96" t="s">
        <v>313</v>
      </c>
      <c r="I96" t="s">
        <v>314</v>
      </c>
      <c r="J96" t="s">
        <v>29</v>
      </c>
      <c r="K96" t="s">
        <v>30</v>
      </c>
      <c r="L96" t="s">
        <v>315</v>
      </c>
      <c r="M96" s="8">
        <v>2</v>
      </c>
      <c r="N96" s="8">
        <v>3</v>
      </c>
      <c r="O96" s="8">
        <v>3</v>
      </c>
      <c r="Q96" s="8">
        <v>2</v>
      </c>
      <c r="R96" s="8">
        <v>3</v>
      </c>
      <c r="S96" s="8">
        <v>2</v>
      </c>
      <c r="U96" s="8">
        <v>2</v>
      </c>
      <c r="V96" s="8">
        <v>2</v>
      </c>
      <c r="X96" s="8">
        <v>3</v>
      </c>
      <c r="Y96" s="8">
        <v>3</v>
      </c>
      <c r="Z96" s="8">
        <v>2</v>
      </c>
      <c r="AA96">
        <f t="shared" si="2"/>
        <v>2.66666666666667</v>
      </c>
    </row>
    <row r="97" spans="1:27">
      <c r="A97" s="8">
        <v>2</v>
      </c>
      <c r="B97" s="8">
        <v>2</v>
      </c>
      <c r="C97" s="8">
        <v>3</v>
      </c>
      <c r="D97" s="8" t="s">
        <v>26</v>
      </c>
      <c r="E97" s="8">
        <v>1</v>
      </c>
      <c r="G97">
        <v>96</v>
      </c>
      <c r="H97" t="s">
        <v>316</v>
      </c>
      <c r="I97" t="s">
        <v>317</v>
      </c>
      <c r="J97" t="s">
        <v>29</v>
      </c>
      <c r="K97" t="s">
        <v>30</v>
      </c>
      <c r="L97" t="s">
        <v>318</v>
      </c>
      <c r="M97" s="8">
        <v>4</v>
      </c>
      <c r="N97" s="8">
        <v>3</v>
      </c>
      <c r="O97" s="8">
        <v>2</v>
      </c>
      <c r="Q97" s="8">
        <v>3</v>
      </c>
      <c r="R97" s="8">
        <v>3</v>
      </c>
      <c r="S97" s="8">
        <v>3</v>
      </c>
      <c r="U97" s="8">
        <v>3</v>
      </c>
      <c r="V97" s="8">
        <v>2</v>
      </c>
      <c r="X97" s="8">
        <v>4</v>
      </c>
      <c r="Y97" s="8">
        <v>2</v>
      </c>
      <c r="Z97" s="8">
        <v>4</v>
      </c>
      <c r="AA97">
        <f t="shared" si="2"/>
        <v>3.33333333333333</v>
      </c>
    </row>
    <row r="98" spans="1:27">
      <c r="A98" s="8">
        <v>2</v>
      </c>
      <c r="B98" s="8">
        <v>2</v>
      </c>
      <c r="C98" s="8">
        <v>3</v>
      </c>
      <c r="D98" s="8" t="s">
        <v>26</v>
      </c>
      <c r="E98" s="8">
        <v>2</v>
      </c>
      <c r="G98">
        <v>97</v>
      </c>
      <c r="H98" t="s">
        <v>319</v>
      </c>
      <c r="I98" t="s">
        <v>320</v>
      </c>
      <c r="J98" t="s">
        <v>29</v>
      </c>
      <c r="K98" t="s">
        <v>30</v>
      </c>
      <c r="L98" t="s">
        <v>321</v>
      </c>
      <c r="M98" s="8">
        <v>1</v>
      </c>
      <c r="N98" s="8">
        <v>3</v>
      </c>
      <c r="O98" s="8">
        <v>3</v>
      </c>
      <c r="Q98" s="8">
        <v>4</v>
      </c>
      <c r="R98" s="8">
        <v>4</v>
      </c>
      <c r="S98" s="8">
        <v>4</v>
      </c>
      <c r="U98" s="8">
        <v>3</v>
      </c>
      <c r="V98" s="8">
        <v>3</v>
      </c>
      <c r="X98" s="8">
        <v>3</v>
      </c>
      <c r="Y98" s="8">
        <v>3</v>
      </c>
      <c r="Z98" s="8">
        <v>3</v>
      </c>
      <c r="AA98">
        <f t="shared" si="2"/>
        <v>3</v>
      </c>
    </row>
    <row r="99" spans="1:27">
      <c r="A99" s="8">
        <v>2</v>
      </c>
      <c r="B99" s="8">
        <v>3</v>
      </c>
      <c r="C99" s="8">
        <v>3</v>
      </c>
      <c r="D99" s="8" t="s">
        <v>322</v>
      </c>
      <c r="E99" s="8">
        <v>1</v>
      </c>
      <c r="G99">
        <v>98</v>
      </c>
      <c r="H99" t="s">
        <v>323</v>
      </c>
      <c r="I99" t="s">
        <v>324</v>
      </c>
      <c r="J99" t="s">
        <v>29</v>
      </c>
      <c r="K99" t="s">
        <v>30</v>
      </c>
      <c r="L99" t="s">
        <v>325</v>
      </c>
      <c r="M99" s="8">
        <v>1</v>
      </c>
      <c r="N99" s="8">
        <v>4</v>
      </c>
      <c r="O99" s="8">
        <v>4</v>
      </c>
      <c r="Q99" s="8">
        <v>4</v>
      </c>
      <c r="R99" s="8">
        <v>4</v>
      </c>
      <c r="S99" s="8">
        <v>2</v>
      </c>
      <c r="U99" s="8">
        <v>2</v>
      </c>
      <c r="V99" s="8">
        <v>4</v>
      </c>
      <c r="X99" s="8">
        <v>4</v>
      </c>
      <c r="Y99" s="8">
        <v>4</v>
      </c>
      <c r="Z99" s="8">
        <v>4</v>
      </c>
      <c r="AA99">
        <f t="shared" si="2"/>
        <v>4</v>
      </c>
    </row>
    <row r="100" spans="1:27">
      <c r="A100" s="8">
        <v>2</v>
      </c>
      <c r="B100" s="8">
        <v>2</v>
      </c>
      <c r="C100" s="8">
        <v>3</v>
      </c>
      <c r="D100" s="8" t="s">
        <v>39</v>
      </c>
      <c r="E100" s="8">
        <v>1</v>
      </c>
      <c r="G100">
        <v>99</v>
      </c>
      <c r="H100" t="s">
        <v>326</v>
      </c>
      <c r="I100" t="s">
        <v>122</v>
      </c>
      <c r="J100" t="s">
        <v>29</v>
      </c>
      <c r="K100" t="s">
        <v>30</v>
      </c>
      <c r="L100" t="s">
        <v>327</v>
      </c>
      <c r="M100" s="8">
        <v>4</v>
      </c>
      <c r="N100" s="8">
        <v>4</v>
      </c>
      <c r="O100" s="8">
        <v>4</v>
      </c>
      <c r="Q100" s="8">
        <v>3</v>
      </c>
      <c r="R100" s="8">
        <v>2</v>
      </c>
      <c r="S100" s="8">
        <v>3</v>
      </c>
      <c r="U100" s="8">
        <v>3</v>
      </c>
      <c r="V100" s="8">
        <v>3</v>
      </c>
      <c r="X100" s="8">
        <v>4</v>
      </c>
      <c r="Y100" s="8">
        <v>4</v>
      </c>
      <c r="Z100" s="8">
        <v>4</v>
      </c>
      <c r="AA100">
        <f t="shared" si="2"/>
        <v>4</v>
      </c>
    </row>
    <row r="101" spans="1:27">
      <c r="A101" s="8">
        <v>2</v>
      </c>
      <c r="B101" s="8">
        <v>2</v>
      </c>
      <c r="C101" s="8">
        <v>3</v>
      </c>
      <c r="D101" s="8" t="s">
        <v>26</v>
      </c>
      <c r="E101" s="8">
        <v>2</v>
      </c>
      <c r="G101">
        <v>100</v>
      </c>
      <c r="H101" t="s">
        <v>328</v>
      </c>
      <c r="I101" t="s">
        <v>41</v>
      </c>
      <c r="J101" t="s">
        <v>29</v>
      </c>
      <c r="K101" t="s">
        <v>30</v>
      </c>
      <c r="L101" t="s">
        <v>329</v>
      </c>
      <c r="M101" s="8">
        <v>1</v>
      </c>
      <c r="N101" s="8">
        <v>4</v>
      </c>
      <c r="O101" s="8">
        <v>4</v>
      </c>
      <c r="Q101" s="8">
        <v>4</v>
      </c>
      <c r="R101" s="8">
        <v>2</v>
      </c>
      <c r="S101" s="8">
        <v>3</v>
      </c>
      <c r="U101" s="8">
        <v>4</v>
      </c>
      <c r="V101" s="8">
        <v>4</v>
      </c>
      <c r="X101" s="8">
        <v>4</v>
      </c>
      <c r="Y101" s="8">
        <v>3</v>
      </c>
      <c r="Z101" s="8">
        <v>3</v>
      </c>
      <c r="AA101">
        <f t="shared" si="2"/>
        <v>3.33333333333333</v>
      </c>
    </row>
    <row r="102" spans="1:27">
      <c r="A102" s="8">
        <v>2</v>
      </c>
      <c r="B102" s="8">
        <v>2</v>
      </c>
      <c r="C102" s="8">
        <v>3</v>
      </c>
      <c r="D102" s="8" t="s">
        <v>103</v>
      </c>
      <c r="E102" s="8">
        <v>2</v>
      </c>
      <c r="G102">
        <v>101</v>
      </c>
      <c r="H102" t="s">
        <v>330</v>
      </c>
      <c r="I102" t="s">
        <v>331</v>
      </c>
      <c r="J102" t="s">
        <v>29</v>
      </c>
      <c r="K102" t="s">
        <v>30</v>
      </c>
      <c r="L102" t="s">
        <v>332</v>
      </c>
      <c r="M102" s="8">
        <v>2</v>
      </c>
      <c r="N102" s="8">
        <v>4</v>
      </c>
      <c r="O102" s="8">
        <v>4</v>
      </c>
      <c r="Q102" s="8">
        <v>3</v>
      </c>
      <c r="R102" s="8">
        <v>3</v>
      </c>
      <c r="S102" s="8">
        <v>4</v>
      </c>
      <c r="U102" s="8">
        <v>3</v>
      </c>
      <c r="V102" s="8">
        <v>3</v>
      </c>
      <c r="X102" s="8">
        <v>4</v>
      </c>
      <c r="Y102" s="8">
        <v>3</v>
      </c>
      <c r="Z102" s="8">
        <v>4</v>
      </c>
      <c r="AA102">
        <f t="shared" si="2"/>
        <v>3.66666666666667</v>
      </c>
    </row>
    <row r="103" spans="1:27">
      <c r="A103" s="8">
        <v>2</v>
      </c>
      <c r="B103" s="8">
        <v>2</v>
      </c>
      <c r="C103" s="8">
        <v>3</v>
      </c>
      <c r="D103" s="8" t="s">
        <v>26</v>
      </c>
      <c r="E103" s="8">
        <v>2</v>
      </c>
      <c r="G103">
        <v>102</v>
      </c>
      <c r="H103" t="s">
        <v>333</v>
      </c>
      <c r="I103" t="s">
        <v>334</v>
      </c>
      <c r="J103" t="s">
        <v>29</v>
      </c>
      <c r="K103" t="s">
        <v>30</v>
      </c>
      <c r="L103" t="s">
        <v>335</v>
      </c>
      <c r="M103" s="8">
        <v>2</v>
      </c>
      <c r="N103" s="8">
        <v>4</v>
      </c>
      <c r="O103" s="8">
        <v>5</v>
      </c>
      <c r="Q103" s="8">
        <v>5</v>
      </c>
      <c r="R103" s="8">
        <v>4</v>
      </c>
      <c r="S103" s="8">
        <v>4</v>
      </c>
      <c r="U103" s="8">
        <v>4</v>
      </c>
      <c r="V103" s="8">
        <v>2</v>
      </c>
      <c r="X103" s="8">
        <v>4</v>
      </c>
      <c r="Y103" s="8">
        <v>5</v>
      </c>
      <c r="Z103" s="8">
        <v>4</v>
      </c>
      <c r="AA103">
        <f t="shared" si="2"/>
        <v>4.33333333333333</v>
      </c>
    </row>
    <row r="104" spans="1:27">
      <c r="A104" s="8">
        <v>2</v>
      </c>
      <c r="B104" s="8">
        <v>2</v>
      </c>
      <c r="C104" s="8">
        <v>3</v>
      </c>
      <c r="D104" s="8" t="s">
        <v>26</v>
      </c>
      <c r="E104" s="8">
        <v>2</v>
      </c>
      <c r="G104">
        <v>103</v>
      </c>
      <c r="H104" t="s">
        <v>336</v>
      </c>
      <c r="I104" t="s">
        <v>337</v>
      </c>
      <c r="J104" t="s">
        <v>29</v>
      </c>
      <c r="K104" t="s">
        <v>30</v>
      </c>
      <c r="L104" t="s">
        <v>338</v>
      </c>
      <c r="M104" s="8">
        <v>4</v>
      </c>
      <c r="N104" s="8">
        <v>4</v>
      </c>
      <c r="O104" s="8">
        <v>5</v>
      </c>
      <c r="Q104" s="8">
        <v>3</v>
      </c>
      <c r="R104" s="8">
        <v>3</v>
      </c>
      <c r="S104" s="8">
        <v>3</v>
      </c>
      <c r="U104" s="8">
        <v>4</v>
      </c>
      <c r="V104" s="8">
        <v>2</v>
      </c>
      <c r="X104" s="8">
        <v>3</v>
      </c>
      <c r="Y104" s="8">
        <v>3</v>
      </c>
      <c r="Z104" s="8">
        <v>4</v>
      </c>
      <c r="AA104">
        <f t="shared" si="2"/>
        <v>3.33333333333333</v>
      </c>
    </row>
    <row r="105" spans="1:27">
      <c r="A105" s="8">
        <v>2</v>
      </c>
      <c r="B105" s="8">
        <v>2</v>
      </c>
      <c r="C105" s="8">
        <v>3</v>
      </c>
      <c r="D105" s="8" t="s">
        <v>26</v>
      </c>
      <c r="E105" s="8">
        <v>1</v>
      </c>
      <c r="G105">
        <v>104</v>
      </c>
      <c r="H105" t="s">
        <v>339</v>
      </c>
      <c r="I105" t="s">
        <v>77</v>
      </c>
      <c r="J105" t="s">
        <v>29</v>
      </c>
      <c r="K105" t="s">
        <v>30</v>
      </c>
      <c r="L105" t="s">
        <v>340</v>
      </c>
      <c r="M105" s="8">
        <v>1</v>
      </c>
      <c r="N105" s="8">
        <v>5</v>
      </c>
      <c r="O105" s="8">
        <v>5</v>
      </c>
      <c r="Q105" s="8">
        <v>5</v>
      </c>
      <c r="R105" s="8">
        <v>3</v>
      </c>
      <c r="S105" s="8">
        <v>4</v>
      </c>
      <c r="U105" s="8">
        <v>5</v>
      </c>
      <c r="V105" s="8">
        <v>5</v>
      </c>
      <c r="X105" s="8">
        <v>5</v>
      </c>
      <c r="Y105" s="8">
        <v>5</v>
      </c>
      <c r="Z105" s="8">
        <v>5</v>
      </c>
      <c r="AA105">
        <f t="shared" si="2"/>
        <v>5</v>
      </c>
    </row>
    <row r="106" spans="1:27">
      <c r="A106" s="8">
        <v>2</v>
      </c>
      <c r="B106" s="8">
        <v>2</v>
      </c>
      <c r="C106" s="8">
        <v>3</v>
      </c>
      <c r="D106" s="8" t="s">
        <v>26</v>
      </c>
      <c r="E106" s="8">
        <v>2</v>
      </c>
      <c r="G106">
        <v>105</v>
      </c>
      <c r="H106" t="s">
        <v>341</v>
      </c>
      <c r="I106" t="s">
        <v>342</v>
      </c>
      <c r="J106" t="s">
        <v>343</v>
      </c>
      <c r="K106" t="s">
        <v>344</v>
      </c>
      <c r="L106" t="s">
        <v>345</v>
      </c>
      <c r="M106" s="8">
        <v>2</v>
      </c>
      <c r="N106" s="8">
        <v>5</v>
      </c>
      <c r="O106" s="8">
        <v>5</v>
      </c>
      <c r="Q106" s="8">
        <v>5</v>
      </c>
      <c r="R106" s="8">
        <v>3</v>
      </c>
      <c r="S106" s="8">
        <v>3</v>
      </c>
      <c r="U106" s="8">
        <v>3</v>
      </c>
      <c r="V106" s="8">
        <v>3</v>
      </c>
      <c r="X106" s="8">
        <v>4</v>
      </c>
      <c r="Y106" s="8">
        <v>3</v>
      </c>
      <c r="Z106" s="8">
        <v>3</v>
      </c>
      <c r="AA106">
        <f t="shared" si="2"/>
        <v>3.33333333333333</v>
      </c>
    </row>
    <row r="107" spans="1:27">
      <c r="A107" s="8">
        <v>2</v>
      </c>
      <c r="B107" s="8">
        <v>2</v>
      </c>
      <c r="C107" s="8">
        <v>3</v>
      </c>
      <c r="D107" s="8" t="s">
        <v>26</v>
      </c>
      <c r="E107" s="8">
        <v>2</v>
      </c>
      <c r="G107">
        <v>106</v>
      </c>
      <c r="H107" t="s">
        <v>346</v>
      </c>
      <c r="I107" t="s">
        <v>347</v>
      </c>
      <c r="J107" t="s">
        <v>343</v>
      </c>
      <c r="K107" t="s">
        <v>344</v>
      </c>
      <c r="L107" t="s">
        <v>348</v>
      </c>
      <c r="M107" s="8">
        <v>4</v>
      </c>
      <c r="N107" s="8">
        <v>5</v>
      </c>
      <c r="O107" s="8">
        <v>2</v>
      </c>
      <c r="Q107" s="8">
        <v>5</v>
      </c>
      <c r="R107" s="8">
        <v>2</v>
      </c>
      <c r="S107" s="8">
        <v>2</v>
      </c>
      <c r="U107" s="8">
        <v>4</v>
      </c>
      <c r="V107" s="8">
        <v>2</v>
      </c>
      <c r="X107" s="8">
        <v>4</v>
      </c>
      <c r="Y107" s="8">
        <v>4</v>
      </c>
      <c r="Z107" s="8">
        <v>4</v>
      </c>
      <c r="AA107">
        <f t="shared" si="2"/>
        <v>4</v>
      </c>
    </row>
    <row r="108" spans="1:27">
      <c r="A108" s="8">
        <v>2</v>
      </c>
      <c r="B108" s="8">
        <v>2</v>
      </c>
      <c r="C108" s="8">
        <v>3</v>
      </c>
      <c r="D108" s="8" t="s">
        <v>26</v>
      </c>
      <c r="E108" s="8">
        <v>2</v>
      </c>
      <c r="G108">
        <v>107</v>
      </c>
      <c r="H108" t="s">
        <v>349</v>
      </c>
      <c r="I108" t="s">
        <v>158</v>
      </c>
      <c r="J108" t="s">
        <v>343</v>
      </c>
      <c r="K108" t="s">
        <v>344</v>
      </c>
      <c r="L108" t="s">
        <v>350</v>
      </c>
      <c r="M108" s="8">
        <v>4</v>
      </c>
      <c r="N108" s="8">
        <v>5</v>
      </c>
      <c r="O108" s="8">
        <v>5</v>
      </c>
      <c r="Q108" s="8">
        <v>5</v>
      </c>
      <c r="R108" s="8">
        <v>3</v>
      </c>
      <c r="S108" s="8">
        <v>3</v>
      </c>
      <c r="U108" s="8">
        <v>2</v>
      </c>
      <c r="V108" s="8">
        <v>2</v>
      </c>
      <c r="X108" s="8">
        <v>3</v>
      </c>
      <c r="Y108" s="8">
        <v>3</v>
      </c>
      <c r="Z108" s="8">
        <v>4</v>
      </c>
      <c r="AA108">
        <f t="shared" si="2"/>
        <v>3.33333333333333</v>
      </c>
    </row>
    <row r="109" spans="1:27">
      <c r="A109" s="8">
        <v>2</v>
      </c>
      <c r="B109" s="8">
        <v>2</v>
      </c>
      <c r="C109" s="8">
        <v>3</v>
      </c>
      <c r="D109" s="8" t="s">
        <v>26</v>
      </c>
      <c r="E109" s="8">
        <v>1</v>
      </c>
      <c r="G109">
        <v>108</v>
      </c>
      <c r="H109" t="s">
        <v>351</v>
      </c>
      <c r="I109" t="s">
        <v>352</v>
      </c>
      <c r="J109" t="s">
        <v>343</v>
      </c>
      <c r="K109" t="s">
        <v>344</v>
      </c>
      <c r="L109" t="s">
        <v>353</v>
      </c>
      <c r="M109" s="8">
        <v>4</v>
      </c>
      <c r="N109" s="8">
        <v>5</v>
      </c>
      <c r="O109" s="8">
        <v>5</v>
      </c>
      <c r="Q109" s="8">
        <v>5</v>
      </c>
      <c r="R109" s="8">
        <v>3</v>
      </c>
      <c r="S109" s="8">
        <v>5</v>
      </c>
      <c r="U109" s="8">
        <v>5</v>
      </c>
      <c r="V109" s="8">
        <v>4</v>
      </c>
      <c r="X109" s="8">
        <v>5</v>
      </c>
      <c r="Y109" s="8">
        <v>3</v>
      </c>
      <c r="Z109" s="8">
        <v>5</v>
      </c>
      <c r="AA109">
        <f t="shared" si="2"/>
        <v>4.33333333333333</v>
      </c>
    </row>
    <row r="110" spans="1:27">
      <c r="A110" s="8">
        <v>2</v>
      </c>
      <c r="B110" s="8">
        <v>2</v>
      </c>
      <c r="C110" s="8">
        <v>3</v>
      </c>
      <c r="D110" s="8" t="s">
        <v>26</v>
      </c>
      <c r="E110" s="8">
        <v>2</v>
      </c>
      <c r="G110">
        <v>109</v>
      </c>
      <c r="H110" t="s">
        <v>354</v>
      </c>
      <c r="I110" t="s">
        <v>355</v>
      </c>
      <c r="J110" t="s">
        <v>343</v>
      </c>
      <c r="K110" t="s">
        <v>344</v>
      </c>
      <c r="L110" t="s">
        <v>356</v>
      </c>
      <c r="M110" s="8">
        <v>1</v>
      </c>
      <c r="N110" s="8">
        <v>5</v>
      </c>
      <c r="O110" s="8">
        <v>5</v>
      </c>
      <c r="Q110" s="8">
        <v>5</v>
      </c>
      <c r="R110" s="8">
        <v>5</v>
      </c>
      <c r="S110" s="8">
        <v>5</v>
      </c>
      <c r="U110" s="8">
        <v>5</v>
      </c>
      <c r="V110" s="8">
        <v>5</v>
      </c>
      <c r="X110" s="8">
        <v>5</v>
      </c>
      <c r="Y110" s="8">
        <v>5</v>
      </c>
      <c r="Z110" s="8">
        <v>5</v>
      </c>
      <c r="AA110">
        <f t="shared" si="2"/>
        <v>5</v>
      </c>
    </row>
    <row r="111" spans="1:27">
      <c r="A111" s="8">
        <v>1</v>
      </c>
      <c r="B111" s="8">
        <v>2</v>
      </c>
      <c r="C111" s="8">
        <v>3</v>
      </c>
      <c r="D111" s="8" t="s">
        <v>26</v>
      </c>
      <c r="E111" s="8">
        <v>2</v>
      </c>
      <c r="G111">
        <v>110</v>
      </c>
      <c r="H111" t="s">
        <v>357</v>
      </c>
      <c r="I111" t="s">
        <v>358</v>
      </c>
      <c r="J111" t="s">
        <v>343</v>
      </c>
      <c r="K111" t="s">
        <v>344</v>
      </c>
      <c r="L111" t="s">
        <v>359</v>
      </c>
      <c r="M111" s="8">
        <v>3</v>
      </c>
      <c r="N111" s="8">
        <v>5</v>
      </c>
      <c r="O111" s="8">
        <v>5</v>
      </c>
      <c r="Q111" s="8">
        <v>5</v>
      </c>
      <c r="R111" s="8">
        <v>5</v>
      </c>
      <c r="S111" s="8">
        <v>5</v>
      </c>
      <c r="U111" s="8">
        <v>5</v>
      </c>
      <c r="V111" s="8">
        <v>5</v>
      </c>
      <c r="X111" s="8">
        <v>5</v>
      </c>
      <c r="Y111" s="8">
        <v>5</v>
      </c>
      <c r="Z111" s="8">
        <v>5</v>
      </c>
      <c r="AA111">
        <f t="shared" si="2"/>
        <v>5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2"/>
  <sheetViews>
    <sheetView topLeftCell="H1" workbookViewId="0">
      <pane ySplit="1" topLeftCell="A2" activePane="bottomLeft" state="frozen"/>
      <selection/>
      <selection pane="bottomLeft" activeCell="U1" sqref="U1"/>
    </sheetView>
  </sheetViews>
  <sheetFormatPr defaultColWidth="9.45454545454546" defaultRowHeight="12.5"/>
  <cols>
    <col min="1" max="5" width="4.27272727272727" style="8" customWidth="1"/>
    <col min="6" max="6" width="9"/>
    <col min="7" max="7" width="4.28181818181818" customWidth="1"/>
    <col min="8" max="8" width="17.1454545454545" customWidth="1"/>
    <col min="9" max="11" width="8.71818181818182" customWidth="1"/>
    <col min="12" max="12" width="24.1454545454545" customWidth="1"/>
    <col min="13" max="13" width="4.27272727272727" style="8" customWidth="1"/>
    <col min="14" max="15" width="11.3636363636364" style="9" customWidth="1"/>
    <col min="16" max="18" width="11.3636363636364" style="10" customWidth="1"/>
    <col min="19" max="20" width="11.3636363636364" style="9" customWidth="1"/>
    <col min="21" max="22" width="11.3636363636364" style="10" customWidth="1"/>
    <col min="23" max="23" width="9.45454545454546" style="11"/>
    <col min="24" max="24" width="9.45454545454546" style="5"/>
    <col min="25" max="25" width="14" style="5"/>
    <col min="26" max="26" width="9.45454545454546" style="5"/>
    <col min="27" max="28" width="12.8181818181818" style="5"/>
  </cols>
  <sheetData>
    <row r="1" ht="13" spans="14:27">
      <c r="N1" s="13" t="s">
        <v>0</v>
      </c>
      <c r="O1" s="13" t="s">
        <v>0</v>
      </c>
      <c r="P1" s="14" t="s">
        <v>1</v>
      </c>
      <c r="Q1" s="14" t="s">
        <v>1</v>
      </c>
      <c r="R1" s="14" t="s">
        <v>1</v>
      </c>
      <c r="S1" s="13" t="s">
        <v>2</v>
      </c>
      <c r="T1" s="13" t="s">
        <v>2</v>
      </c>
      <c r="U1" s="14" t="s">
        <v>3</v>
      </c>
      <c r="V1" s="14" t="s">
        <v>3</v>
      </c>
      <c r="W1" s="14" t="s">
        <v>3</v>
      </c>
      <c r="X1" s="5" t="s">
        <v>0</v>
      </c>
      <c r="Y1" s="5" t="s">
        <v>1</v>
      </c>
      <c r="Z1" s="5" t="s">
        <v>2</v>
      </c>
      <c r="AA1" s="5" t="s">
        <v>3</v>
      </c>
    </row>
    <row r="2" ht="142.5" spans="1:23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2"/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5" t="s">
        <v>360</v>
      </c>
      <c r="O2" s="15" t="s">
        <v>17</v>
      </c>
      <c r="P2" s="16" t="s">
        <v>18</v>
      </c>
      <c r="Q2" s="16" t="s">
        <v>19</v>
      </c>
      <c r="R2" s="16" t="s">
        <v>20</v>
      </c>
      <c r="S2" s="15" t="s">
        <v>21</v>
      </c>
      <c r="T2" s="15" t="s">
        <v>22</v>
      </c>
      <c r="U2" s="16" t="s">
        <v>23</v>
      </c>
      <c r="V2" s="16" t="s">
        <v>24</v>
      </c>
      <c r="W2" s="16" t="s">
        <v>25</v>
      </c>
    </row>
    <row r="3" spans="1:2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5"/>
      <c r="O3" s="15"/>
      <c r="P3" s="16"/>
      <c r="Q3" s="16"/>
      <c r="R3" s="16"/>
      <c r="S3" s="15"/>
      <c r="T3" s="15"/>
      <c r="U3" s="16"/>
      <c r="V3" s="16"/>
      <c r="W3" s="16"/>
    </row>
    <row r="4" ht="13" spans="1:29">
      <c r="A4" s="8">
        <v>2</v>
      </c>
      <c r="B4" s="8">
        <v>2</v>
      </c>
      <c r="C4" s="8">
        <v>3</v>
      </c>
      <c r="D4" s="8" t="s">
        <v>26</v>
      </c>
      <c r="E4" s="8">
        <v>1</v>
      </c>
      <c r="G4">
        <v>6</v>
      </c>
      <c r="H4" t="s">
        <v>43</v>
      </c>
      <c r="I4" t="s">
        <v>44</v>
      </c>
      <c r="J4" t="s">
        <v>29</v>
      </c>
      <c r="K4" t="s">
        <v>30</v>
      </c>
      <c r="L4" t="s">
        <v>45</v>
      </c>
      <c r="M4" s="8">
        <v>1</v>
      </c>
      <c r="N4" s="9">
        <v>1</v>
      </c>
      <c r="O4" s="9">
        <v>2</v>
      </c>
      <c r="P4" s="10">
        <v>2</v>
      </c>
      <c r="Q4" s="10">
        <v>1</v>
      </c>
      <c r="R4" s="10">
        <v>1</v>
      </c>
      <c r="S4" s="9">
        <v>1</v>
      </c>
      <c r="T4" s="9">
        <v>1</v>
      </c>
      <c r="U4" s="10">
        <v>2</v>
      </c>
      <c r="V4" s="10">
        <v>2</v>
      </c>
      <c r="W4" s="11">
        <v>2</v>
      </c>
      <c r="X4" s="5">
        <v>1.5</v>
      </c>
      <c r="Y4" s="5">
        <v>1.33333333333333</v>
      </c>
      <c r="Z4" s="5">
        <v>1</v>
      </c>
      <c r="AA4" s="5">
        <v>2</v>
      </c>
      <c r="AB4" s="5">
        <v>1</v>
      </c>
      <c r="AC4" s="4" t="s">
        <v>3</v>
      </c>
    </row>
    <row r="5" ht="13" spans="1:29">
      <c r="A5" s="8">
        <v>2</v>
      </c>
      <c r="B5" s="8">
        <v>2</v>
      </c>
      <c r="C5" s="8">
        <v>3</v>
      </c>
      <c r="D5" s="8" t="s">
        <v>75</v>
      </c>
      <c r="E5" s="8">
        <v>1</v>
      </c>
      <c r="G5">
        <v>16</v>
      </c>
      <c r="H5" t="s">
        <v>76</v>
      </c>
      <c r="I5" t="s">
        <v>77</v>
      </c>
      <c r="J5" t="s">
        <v>29</v>
      </c>
      <c r="K5" t="s">
        <v>30</v>
      </c>
      <c r="L5" t="s">
        <v>78</v>
      </c>
      <c r="M5" s="8">
        <v>1</v>
      </c>
      <c r="N5" s="9">
        <v>2</v>
      </c>
      <c r="O5" s="9">
        <v>1</v>
      </c>
      <c r="P5" s="10">
        <v>2</v>
      </c>
      <c r="Q5" s="10">
        <v>1</v>
      </c>
      <c r="R5" s="10">
        <v>1</v>
      </c>
      <c r="S5" s="9">
        <v>1</v>
      </c>
      <c r="T5" s="9">
        <v>1</v>
      </c>
      <c r="U5" s="10">
        <v>3</v>
      </c>
      <c r="V5" s="10">
        <v>2</v>
      </c>
      <c r="W5" s="11">
        <v>1</v>
      </c>
      <c r="X5" s="5">
        <v>1.5</v>
      </c>
      <c r="Y5" s="5">
        <v>1.33333333333333</v>
      </c>
      <c r="Z5" s="5">
        <v>1</v>
      </c>
      <c r="AA5" s="5">
        <v>2</v>
      </c>
      <c r="AB5" s="5">
        <v>1</v>
      </c>
      <c r="AC5" s="4" t="s">
        <v>3</v>
      </c>
    </row>
    <row r="6" ht="13" spans="1:29">
      <c r="A6" s="8">
        <v>2</v>
      </c>
      <c r="B6" s="8">
        <v>2</v>
      </c>
      <c r="C6" s="8">
        <v>3</v>
      </c>
      <c r="D6" s="8" t="s">
        <v>75</v>
      </c>
      <c r="E6" s="8">
        <v>1</v>
      </c>
      <c r="G6">
        <v>20</v>
      </c>
      <c r="H6" t="s">
        <v>89</v>
      </c>
      <c r="I6" t="s">
        <v>90</v>
      </c>
      <c r="J6" t="s">
        <v>29</v>
      </c>
      <c r="K6" t="s">
        <v>30</v>
      </c>
      <c r="L6" t="s">
        <v>91</v>
      </c>
      <c r="M6" s="8">
        <v>1</v>
      </c>
      <c r="N6" s="9">
        <v>2</v>
      </c>
      <c r="O6" s="9">
        <v>0</v>
      </c>
      <c r="P6" s="10">
        <v>3</v>
      </c>
      <c r="Q6" s="10">
        <v>1</v>
      </c>
      <c r="R6" s="10">
        <v>0</v>
      </c>
      <c r="S6" s="9">
        <v>2</v>
      </c>
      <c r="T6" s="9">
        <v>1</v>
      </c>
      <c r="U6" s="10">
        <v>2</v>
      </c>
      <c r="V6" s="10">
        <v>2</v>
      </c>
      <c r="W6" s="11">
        <v>2</v>
      </c>
      <c r="X6" s="5">
        <v>1</v>
      </c>
      <c r="Y6" s="5">
        <v>1.33333333333333</v>
      </c>
      <c r="Z6" s="5">
        <v>1.5</v>
      </c>
      <c r="AA6" s="5">
        <v>2</v>
      </c>
      <c r="AB6" s="5">
        <v>1</v>
      </c>
      <c r="AC6" s="4" t="s">
        <v>3</v>
      </c>
    </row>
    <row r="7" ht="13" spans="1:29">
      <c r="A7" s="8">
        <v>2</v>
      </c>
      <c r="B7" s="8">
        <v>3</v>
      </c>
      <c r="C7" s="8">
        <v>3</v>
      </c>
      <c r="D7" s="8" t="s">
        <v>153</v>
      </c>
      <c r="E7" s="8">
        <v>1</v>
      </c>
      <c r="G7">
        <v>40</v>
      </c>
      <c r="H7" t="s">
        <v>154</v>
      </c>
      <c r="I7" t="s">
        <v>155</v>
      </c>
      <c r="J7" t="s">
        <v>29</v>
      </c>
      <c r="K7" t="s">
        <v>30</v>
      </c>
      <c r="L7" t="s">
        <v>156</v>
      </c>
      <c r="M7" s="8">
        <v>1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1</v>
      </c>
      <c r="T7" s="9">
        <v>3</v>
      </c>
      <c r="U7" s="10">
        <v>3</v>
      </c>
      <c r="V7" s="10">
        <v>2</v>
      </c>
      <c r="W7" s="11">
        <v>2</v>
      </c>
      <c r="X7" s="5">
        <v>0</v>
      </c>
      <c r="Y7" s="5">
        <v>0</v>
      </c>
      <c r="Z7" s="5">
        <v>2</v>
      </c>
      <c r="AA7" s="5">
        <v>2.33333333333333</v>
      </c>
      <c r="AB7" s="5">
        <v>1</v>
      </c>
      <c r="AC7" s="4" t="s">
        <v>3</v>
      </c>
    </row>
    <row r="8" ht="13" spans="1:29">
      <c r="A8" s="8">
        <v>1</v>
      </c>
      <c r="B8" s="8">
        <v>2</v>
      </c>
      <c r="C8" s="8">
        <v>2</v>
      </c>
      <c r="D8" s="8" t="s">
        <v>79</v>
      </c>
      <c r="E8" s="8">
        <v>1</v>
      </c>
      <c r="G8">
        <v>56</v>
      </c>
      <c r="H8" t="s">
        <v>202</v>
      </c>
      <c r="I8" t="s">
        <v>112</v>
      </c>
      <c r="J8" t="s">
        <v>29</v>
      </c>
      <c r="K8" t="s">
        <v>30</v>
      </c>
      <c r="L8" t="s">
        <v>203</v>
      </c>
      <c r="M8" s="8">
        <v>1</v>
      </c>
      <c r="N8" s="9">
        <v>1</v>
      </c>
      <c r="O8" s="9">
        <v>2</v>
      </c>
      <c r="P8" s="10">
        <v>3</v>
      </c>
      <c r="Q8" s="10">
        <v>2</v>
      </c>
      <c r="R8" s="10">
        <v>1</v>
      </c>
      <c r="S8" s="9">
        <v>1</v>
      </c>
      <c r="T8" s="9">
        <v>1</v>
      </c>
      <c r="U8" s="10">
        <v>2</v>
      </c>
      <c r="V8" s="10">
        <v>1</v>
      </c>
      <c r="W8" s="11">
        <v>1</v>
      </c>
      <c r="X8" s="5">
        <v>1.5</v>
      </c>
      <c r="Y8" s="5">
        <v>2</v>
      </c>
      <c r="Z8" s="5">
        <v>1</v>
      </c>
      <c r="AA8" s="5">
        <v>1.33333333333333</v>
      </c>
      <c r="AB8" s="5">
        <v>1</v>
      </c>
      <c r="AC8" s="4" t="s">
        <v>1</v>
      </c>
    </row>
    <row r="9" ht="13" spans="1:29">
      <c r="A9" s="8">
        <v>1</v>
      </c>
      <c r="B9" s="8">
        <v>4</v>
      </c>
      <c r="C9" s="8">
        <v>4</v>
      </c>
      <c r="D9" s="8" t="s">
        <v>26</v>
      </c>
      <c r="E9" s="8">
        <v>2</v>
      </c>
      <c r="G9">
        <v>68</v>
      </c>
      <c r="H9" t="s">
        <v>231</v>
      </c>
      <c r="I9" t="s">
        <v>232</v>
      </c>
      <c r="J9" t="s">
        <v>29</v>
      </c>
      <c r="K9" t="s">
        <v>30</v>
      </c>
      <c r="L9" t="s">
        <v>233</v>
      </c>
      <c r="M9" s="8">
        <v>1</v>
      </c>
      <c r="N9" s="9">
        <v>1</v>
      </c>
      <c r="O9" s="9">
        <v>2</v>
      </c>
      <c r="P9" s="10">
        <v>2</v>
      </c>
      <c r="Q9" s="10">
        <v>1</v>
      </c>
      <c r="R9" s="10">
        <v>2</v>
      </c>
      <c r="S9" s="9">
        <v>1</v>
      </c>
      <c r="T9" s="9">
        <v>1</v>
      </c>
      <c r="U9" s="10">
        <v>1</v>
      </c>
      <c r="V9" s="10">
        <v>0</v>
      </c>
      <c r="W9" s="11">
        <v>1</v>
      </c>
      <c r="X9" s="5">
        <v>1.5</v>
      </c>
      <c r="Y9" s="5">
        <v>1.66666666666667</v>
      </c>
      <c r="Z9" s="5">
        <v>1</v>
      </c>
      <c r="AA9" s="5">
        <v>0.666666666666667</v>
      </c>
      <c r="AB9" s="5">
        <v>1</v>
      </c>
      <c r="AC9" s="4" t="s">
        <v>1</v>
      </c>
    </row>
    <row r="10" ht="13" spans="1:29">
      <c r="A10" s="8">
        <v>2</v>
      </c>
      <c r="B10" s="8">
        <v>2</v>
      </c>
      <c r="C10" s="8">
        <v>3</v>
      </c>
      <c r="D10" s="8" t="s">
        <v>187</v>
      </c>
      <c r="E10" s="8">
        <v>1</v>
      </c>
      <c r="G10">
        <v>72</v>
      </c>
      <c r="H10" t="s">
        <v>243</v>
      </c>
      <c r="I10" t="s">
        <v>244</v>
      </c>
      <c r="J10" t="s">
        <v>29</v>
      </c>
      <c r="K10" t="s">
        <v>30</v>
      </c>
      <c r="L10" t="s">
        <v>245</v>
      </c>
      <c r="M10" s="8">
        <v>1</v>
      </c>
      <c r="N10" s="9">
        <v>1</v>
      </c>
      <c r="O10" s="9">
        <v>1</v>
      </c>
      <c r="P10" s="10">
        <v>2</v>
      </c>
      <c r="Q10" s="10">
        <v>2</v>
      </c>
      <c r="R10" s="10">
        <v>2</v>
      </c>
      <c r="S10" s="9">
        <v>1</v>
      </c>
      <c r="T10" s="9">
        <v>1</v>
      </c>
      <c r="U10" s="10">
        <v>1</v>
      </c>
      <c r="V10" s="10">
        <v>1</v>
      </c>
      <c r="W10" s="11">
        <v>1</v>
      </c>
      <c r="X10" s="5">
        <v>1</v>
      </c>
      <c r="Y10" s="5">
        <v>2</v>
      </c>
      <c r="Z10" s="5">
        <v>1</v>
      </c>
      <c r="AA10" s="5">
        <v>1</v>
      </c>
      <c r="AB10" s="5">
        <v>1</v>
      </c>
      <c r="AC10" s="4" t="s">
        <v>1</v>
      </c>
    </row>
    <row r="11" ht="13" spans="1:29">
      <c r="A11" s="8">
        <v>2</v>
      </c>
      <c r="B11" s="8">
        <v>3</v>
      </c>
      <c r="C11" s="8">
        <v>3</v>
      </c>
      <c r="D11" s="8" t="s">
        <v>187</v>
      </c>
      <c r="E11" s="8">
        <v>2</v>
      </c>
      <c r="G11">
        <v>75</v>
      </c>
      <c r="H11" t="s">
        <v>252</v>
      </c>
      <c r="I11" t="s">
        <v>253</v>
      </c>
      <c r="J11" t="s">
        <v>29</v>
      </c>
      <c r="K11" t="s">
        <v>30</v>
      </c>
      <c r="L11" t="s">
        <v>254</v>
      </c>
      <c r="M11" s="8">
        <v>1</v>
      </c>
      <c r="N11" s="9">
        <v>1</v>
      </c>
      <c r="O11" s="9">
        <v>1</v>
      </c>
      <c r="P11" s="10">
        <v>1</v>
      </c>
      <c r="Q11" s="10">
        <v>0</v>
      </c>
      <c r="R11" s="10">
        <v>1</v>
      </c>
      <c r="S11" s="9">
        <v>1</v>
      </c>
      <c r="T11" s="9">
        <v>0</v>
      </c>
      <c r="U11" s="10">
        <v>1</v>
      </c>
      <c r="V11" s="10">
        <v>0</v>
      </c>
      <c r="W11" s="11">
        <v>0</v>
      </c>
      <c r="X11" s="5">
        <v>1</v>
      </c>
      <c r="Y11" s="5">
        <v>0.666666666666667</v>
      </c>
      <c r="Z11" s="5">
        <v>0.5</v>
      </c>
      <c r="AA11" s="5">
        <v>0.333333333333333</v>
      </c>
      <c r="AB11" s="5">
        <v>1</v>
      </c>
      <c r="AC11" s="4" t="s">
        <v>0</v>
      </c>
    </row>
    <row r="12" ht="13" spans="1:29">
      <c r="A12" s="8">
        <v>2</v>
      </c>
      <c r="B12" s="8">
        <v>2</v>
      </c>
      <c r="C12" s="8">
        <v>3</v>
      </c>
      <c r="D12" s="8" t="s">
        <v>26</v>
      </c>
      <c r="E12" s="8">
        <v>2</v>
      </c>
      <c r="G12">
        <v>93</v>
      </c>
      <c r="H12" t="s">
        <v>307</v>
      </c>
      <c r="I12" t="s">
        <v>308</v>
      </c>
      <c r="J12" t="s">
        <v>29</v>
      </c>
      <c r="K12" t="s">
        <v>30</v>
      </c>
      <c r="L12" t="s">
        <v>186</v>
      </c>
      <c r="M12" s="8">
        <v>1</v>
      </c>
      <c r="N12" s="9">
        <v>2</v>
      </c>
      <c r="O12" s="9">
        <v>2</v>
      </c>
      <c r="P12" s="10">
        <v>2</v>
      </c>
      <c r="Q12" s="10">
        <v>0</v>
      </c>
      <c r="R12" s="10">
        <v>0</v>
      </c>
      <c r="S12" s="9">
        <v>2</v>
      </c>
      <c r="T12" s="9">
        <v>1</v>
      </c>
      <c r="U12" s="10">
        <v>2</v>
      </c>
      <c r="V12" s="10">
        <v>0</v>
      </c>
      <c r="W12" s="11">
        <v>0</v>
      </c>
      <c r="X12" s="5">
        <v>2</v>
      </c>
      <c r="Y12" s="5">
        <v>0.666666666666667</v>
      </c>
      <c r="Z12" s="5">
        <v>1.5</v>
      </c>
      <c r="AA12" s="5">
        <v>0.666666666666667</v>
      </c>
      <c r="AB12" s="5">
        <v>1</v>
      </c>
      <c r="AC12" s="4" t="s">
        <v>0</v>
      </c>
    </row>
    <row r="13" ht="13" spans="1:29">
      <c r="A13" s="8">
        <v>2</v>
      </c>
      <c r="B13" s="8">
        <v>2</v>
      </c>
      <c r="C13" s="8">
        <v>3</v>
      </c>
      <c r="D13" s="8" t="s">
        <v>26</v>
      </c>
      <c r="E13" s="8">
        <v>1</v>
      </c>
      <c r="G13">
        <v>96</v>
      </c>
      <c r="H13" t="s">
        <v>316</v>
      </c>
      <c r="I13" t="s">
        <v>317</v>
      </c>
      <c r="J13" t="s">
        <v>29</v>
      </c>
      <c r="K13" t="s">
        <v>30</v>
      </c>
      <c r="L13" t="s">
        <v>318</v>
      </c>
      <c r="M13" s="8">
        <v>1</v>
      </c>
      <c r="N13" s="9">
        <v>2</v>
      </c>
      <c r="O13" s="9">
        <v>2</v>
      </c>
      <c r="P13" s="10">
        <v>1</v>
      </c>
      <c r="Q13" s="10">
        <v>2</v>
      </c>
      <c r="R13" s="10">
        <v>2</v>
      </c>
      <c r="S13" s="9">
        <v>2</v>
      </c>
      <c r="T13" s="9">
        <v>1</v>
      </c>
      <c r="U13" s="10">
        <v>2</v>
      </c>
      <c r="V13" s="10">
        <v>1</v>
      </c>
      <c r="W13" s="11">
        <v>2</v>
      </c>
      <c r="X13" s="5">
        <v>2</v>
      </c>
      <c r="Y13" s="5">
        <v>1.66666666666667</v>
      </c>
      <c r="Z13" s="5">
        <v>1.5</v>
      </c>
      <c r="AA13" s="5">
        <v>1.66666666666667</v>
      </c>
      <c r="AB13" s="5">
        <v>1</v>
      </c>
      <c r="AC13" s="4" t="s">
        <v>0</v>
      </c>
    </row>
    <row r="14" ht="13" spans="1:29">
      <c r="A14" s="8">
        <v>2</v>
      </c>
      <c r="B14" s="8">
        <v>2</v>
      </c>
      <c r="C14" s="8">
        <v>3</v>
      </c>
      <c r="D14" s="8" t="s">
        <v>26</v>
      </c>
      <c r="E14" s="8">
        <v>2</v>
      </c>
      <c r="G14">
        <v>106</v>
      </c>
      <c r="H14" t="s">
        <v>346</v>
      </c>
      <c r="I14" t="s">
        <v>347</v>
      </c>
      <c r="J14" t="s">
        <v>343</v>
      </c>
      <c r="K14" t="s">
        <v>344</v>
      </c>
      <c r="L14" t="s">
        <v>348</v>
      </c>
      <c r="M14" s="8">
        <v>1</v>
      </c>
      <c r="N14" s="9">
        <v>3</v>
      </c>
      <c r="O14" s="9">
        <v>3</v>
      </c>
      <c r="P14" s="10">
        <v>3</v>
      </c>
      <c r="Q14" s="10">
        <v>0</v>
      </c>
      <c r="R14" s="10">
        <v>0</v>
      </c>
      <c r="S14" s="9">
        <v>0</v>
      </c>
      <c r="T14" s="9">
        <v>0</v>
      </c>
      <c r="U14" s="10">
        <v>3</v>
      </c>
      <c r="V14" s="10">
        <v>0</v>
      </c>
      <c r="W14" s="11">
        <v>1</v>
      </c>
      <c r="X14" s="5">
        <v>3</v>
      </c>
      <c r="Y14" s="5">
        <v>1</v>
      </c>
      <c r="Z14" s="5">
        <v>0</v>
      </c>
      <c r="AA14" s="5">
        <v>1.33333333333333</v>
      </c>
      <c r="AB14" s="5">
        <v>1</v>
      </c>
      <c r="AC14" s="4" t="s">
        <v>0</v>
      </c>
    </row>
    <row r="15" ht="13" spans="1:29">
      <c r="A15" s="8">
        <v>2</v>
      </c>
      <c r="B15" s="8">
        <v>2</v>
      </c>
      <c r="C15" s="8">
        <v>3</v>
      </c>
      <c r="D15" s="8" t="s">
        <v>140</v>
      </c>
      <c r="E15" s="8">
        <v>2</v>
      </c>
      <c r="G15">
        <v>39</v>
      </c>
      <c r="H15" t="s">
        <v>150</v>
      </c>
      <c r="I15" t="s">
        <v>151</v>
      </c>
      <c r="J15" t="s">
        <v>29</v>
      </c>
      <c r="K15" t="s">
        <v>30</v>
      </c>
      <c r="L15" t="s">
        <v>152</v>
      </c>
      <c r="M15" s="8">
        <v>1</v>
      </c>
      <c r="N15" s="9">
        <v>3</v>
      </c>
      <c r="O15" s="9">
        <v>3</v>
      </c>
      <c r="P15" s="10">
        <v>1</v>
      </c>
      <c r="Q15" s="10">
        <v>2</v>
      </c>
      <c r="R15" s="10">
        <v>2</v>
      </c>
      <c r="S15" s="9">
        <v>2</v>
      </c>
      <c r="T15" s="9">
        <v>1</v>
      </c>
      <c r="U15" s="10">
        <v>2</v>
      </c>
      <c r="V15" s="10">
        <v>1</v>
      </c>
      <c r="W15" s="11">
        <v>2</v>
      </c>
      <c r="X15" s="5">
        <v>3</v>
      </c>
      <c r="Y15" s="5">
        <v>1.66666666666667</v>
      </c>
      <c r="Z15" s="5">
        <v>1.5</v>
      </c>
      <c r="AA15" s="5">
        <v>1.66666666666667</v>
      </c>
      <c r="AB15" s="5">
        <v>1</v>
      </c>
      <c r="AC15" s="4" t="s">
        <v>0</v>
      </c>
    </row>
    <row r="16" ht="13" spans="1:29">
      <c r="A16" s="8">
        <v>2</v>
      </c>
      <c r="B16" s="8">
        <v>2</v>
      </c>
      <c r="C16" s="8">
        <v>4</v>
      </c>
      <c r="D16" s="8" t="s">
        <v>26</v>
      </c>
      <c r="E16" s="8">
        <v>1</v>
      </c>
      <c r="G16">
        <v>10</v>
      </c>
      <c r="H16" t="s">
        <v>56</v>
      </c>
      <c r="I16" t="s">
        <v>37</v>
      </c>
      <c r="J16" t="s">
        <v>29</v>
      </c>
      <c r="K16" t="s">
        <v>30</v>
      </c>
      <c r="L16" t="s">
        <v>57</v>
      </c>
      <c r="M16" s="8">
        <v>1</v>
      </c>
      <c r="N16" s="9">
        <v>2</v>
      </c>
      <c r="O16" s="9">
        <v>1</v>
      </c>
      <c r="P16" s="10">
        <v>1</v>
      </c>
      <c r="Q16" s="10">
        <v>1</v>
      </c>
      <c r="R16" s="10">
        <v>1</v>
      </c>
      <c r="S16" s="9">
        <v>0</v>
      </c>
      <c r="T16" s="9">
        <v>0</v>
      </c>
      <c r="U16" s="10">
        <v>2</v>
      </c>
      <c r="V16" s="10">
        <v>1</v>
      </c>
      <c r="W16" s="11">
        <v>1</v>
      </c>
      <c r="X16" s="5">
        <v>1.5</v>
      </c>
      <c r="Y16" s="5">
        <v>1</v>
      </c>
      <c r="Z16" s="5">
        <v>0</v>
      </c>
      <c r="AA16" s="5">
        <v>1.33333333333333</v>
      </c>
      <c r="AB16" s="5">
        <v>1</v>
      </c>
      <c r="AC16" s="4" t="s">
        <v>0</v>
      </c>
    </row>
    <row r="17" ht="13" spans="1:29">
      <c r="A17" s="8">
        <v>2</v>
      </c>
      <c r="B17" s="8">
        <v>2</v>
      </c>
      <c r="C17" s="8">
        <v>3</v>
      </c>
      <c r="D17" s="8" t="s">
        <v>26</v>
      </c>
      <c r="E17" s="8">
        <v>2</v>
      </c>
      <c r="G17">
        <v>11</v>
      </c>
      <c r="H17" t="s">
        <v>58</v>
      </c>
      <c r="I17" t="s">
        <v>59</v>
      </c>
      <c r="J17" t="s">
        <v>29</v>
      </c>
      <c r="K17" t="s">
        <v>30</v>
      </c>
      <c r="L17" t="s">
        <v>60</v>
      </c>
      <c r="M17" s="8">
        <v>1</v>
      </c>
      <c r="N17" s="9">
        <v>2</v>
      </c>
      <c r="O17" s="9">
        <v>3</v>
      </c>
      <c r="P17" s="10">
        <v>2</v>
      </c>
      <c r="Q17" s="10">
        <v>0</v>
      </c>
      <c r="R17" s="10">
        <v>2</v>
      </c>
      <c r="S17" s="9">
        <v>0</v>
      </c>
      <c r="T17" s="9">
        <v>0</v>
      </c>
      <c r="U17" s="10">
        <v>2</v>
      </c>
      <c r="V17" s="10">
        <v>1</v>
      </c>
      <c r="W17" s="11">
        <v>2</v>
      </c>
      <c r="X17" s="5">
        <v>2.5</v>
      </c>
      <c r="Y17" s="5">
        <v>1.33333333333333</v>
      </c>
      <c r="Z17" s="5">
        <v>0</v>
      </c>
      <c r="AA17" s="5">
        <v>1.66666666666667</v>
      </c>
      <c r="AB17" s="5">
        <v>1</v>
      </c>
      <c r="AC17" s="4" t="s">
        <v>0</v>
      </c>
    </row>
    <row r="18" ht="13" spans="1:29">
      <c r="A18" s="8">
        <v>2</v>
      </c>
      <c r="B18" s="8">
        <v>2</v>
      </c>
      <c r="C18" s="8">
        <v>3</v>
      </c>
      <c r="D18" s="8" t="s">
        <v>75</v>
      </c>
      <c r="E18" s="8">
        <v>1</v>
      </c>
      <c r="G18">
        <v>18</v>
      </c>
      <c r="H18" t="s">
        <v>83</v>
      </c>
      <c r="I18" t="s">
        <v>84</v>
      </c>
      <c r="J18" t="s">
        <v>29</v>
      </c>
      <c r="K18" t="s">
        <v>30</v>
      </c>
      <c r="L18" t="s">
        <v>85</v>
      </c>
      <c r="M18" s="8">
        <v>1</v>
      </c>
      <c r="N18" s="9">
        <v>2</v>
      </c>
      <c r="O18" s="9">
        <v>3</v>
      </c>
      <c r="P18" s="10">
        <v>3</v>
      </c>
      <c r="Q18" s="10">
        <v>0</v>
      </c>
      <c r="R18" s="10">
        <v>2</v>
      </c>
      <c r="S18" s="9">
        <v>1</v>
      </c>
      <c r="T18" s="9">
        <v>2</v>
      </c>
      <c r="U18" s="10">
        <v>3</v>
      </c>
      <c r="V18" s="10">
        <v>1</v>
      </c>
      <c r="W18" s="11">
        <v>2</v>
      </c>
      <c r="X18" s="5">
        <v>2.5</v>
      </c>
      <c r="Y18" s="5">
        <v>1.66666666666667</v>
      </c>
      <c r="Z18" s="5">
        <v>1.5</v>
      </c>
      <c r="AA18" s="5">
        <v>2</v>
      </c>
      <c r="AB18" s="5">
        <v>1</v>
      </c>
      <c r="AC18" s="4" t="s">
        <v>0</v>
      </c>
    </row>
    <row r="19" ht="13" spans="1:29">
      <c r="A19" s="8">
        <v>2</v>
      </c>
      <c r="B19" s="8">
        <v>2</v>
      </c>
      <c r="C19" s="8">
        <v>3</v>
      </c>
      <c r="D19" s="8" t="s">
        <v>75</v>
      </c>
      <c r="E19" s="8">
        <v>1</v>
      </c>
      <c r="G19">
        <v>35</v>
      </c>
      <c r="H19" t="s">
        <v>137</v>
      </c>
      <c r="I19" t="s">
        <v>138</v>
      </c>
      <c r="J19" t="s">
        <v>29</v>
      </c>
      <c r="K19" t="s">
        <v>30</v>
      </c>
      <c r="L19" t="s">
        <v>139</v>
      </c>
      <c r="M19" s="8">
        <v>1</v>
      </c>
      <c r="N19" s="9">
        <v>0</v>
      </c>
      <c r="O19" s="9">
        <v>1</v>
      </c>
      <c r="P19" s="10">
        <v>1</v>
      </c>
      <c r="Q19" s="10">
        <v>1</v>
      </c>
      <c r="R19" s="10">
        <v>0</v>
      </c>
      <c r="S19" s="9">
        <v>1</v>
      </c>
      <c r="T19" s="9">
        <v>1</v>
      </c>
      <c r="U19" s="10">
        <v>0</v>
      </c>
      <c r="V19" s="10">
        <v>1</v>
      </c>
      <c r="W19" s="11">
        <v>1</v>
      </c>
      <c r="X19" s="5">
        <v>0.5</v>
      </c>
      <c r="Y19" s="5">
        <v>0.666666666666667</v>
      </c>
      <c r="Z19" s="5">
        <v>1</v>
      </c>
      <c r="AA19" s="5">
        <v>0.666666666666667</v>
      </c>
      <c r="AB19" s="5">
        <v>1</v>
      </c>
      <c r="AC19" s="4" t="s">
        <v>2</v>
      </c>
    </row>
    <row r="20" ht="13" spans="1:29">
      <c r="A20" s="8">
        <v>2</v>
      </c>
      <c r="B20" s="8">
        <v>2</v>
      </c>
      <c r="C20" s="8">
        <v>3</v>
      </c>
      <c r="D20" s="8" t="s">
        <v>26</v>
      </c>
      <c r="E20" s="8">
        <v>2</v>
      </c>
      <c r="G20">
        <v>43</v>
      </c>
      <c r="H20" t="s">
        <v>162</v>
      </c>
      <c r="I20" t="s">
        <v>163</v>
      </c>
      <c r="J20" t="s">
        <v>29</v>
      </c>
      <c r="K20" t="s">
        <v>30</v>
      </c>
      <c r="L20" t="s">
        <v>164</v>
      </c>
      <c r="M20" s="8">
        <v>1</v>
      </c>
      <c r="N20" s="9">
        <v>2</v>
      </c>
      <c r="O20" s="9">
        <v>2</v>
      </c>
      <c r="P20" s="10">
        <v>3</v>
      </c>
      <c r="Q20" s="10">
        <v>2</v>
      </c>
      <c r="R20" s="10">
        <v>1</v>
      </c>
      <c r="S20" s="9">
        <v>3</v>
      </c>
      <c r="T20" s="9">
        <v>3</v>
      </c>
      <c r="U20" s="10">
        <v>3</v>
      </c>
      <c r="V20" s="10">
        <v>1</v>
      </c>
      <c r="W20" s="11">
        <v>1</v>
      </c>
      <c r="X20" s="5">
        <v>2</v>
      </c>
      <c r="Y20" s="5">
        <v>2</v>
      </c>
      <c r="Z20" s="5">
        <v>3</v>
      </c>
      <c r="AA20" s="5">
        <v>1.66666666666667</v>
      </c>
      <c r="AB20" s="5">
        <v>1</v>
      </c>
      <c r="AC20" s="4" t="s">
        <v>2</v>
      </c>
    </row>
    <row r="21" spans="1:28">
      <c r="A21" s="8">
        <v>1</v>
      </c>
      <c r="B21" s="8">
        <v>3</v>
      </c>
      <c r="C21" s="8">
        <v>4</v>
      </c>
      <c r="D21" s="8" t="s">
        <v>26</v>
      </c>
      <c r="E21" s="8">
        <v>2</v>
      </c>
      <c r="G21">
        <v>58</v>
      </c>
      <c r="H21" t="s">
        <v>205</v>
      </c>
      <c r="I21" t="s">
        <v>206</v>
      </c>
      <c r="J21" t="s">
        <v>29</v>
      </c>
      <c r="K21" t="s">
        <v>30</v>
      </c>
      <c r="L21" t="s">
        <v>207</v>
      </c>
      <c r="M21" s="8">
        <v>1</v>
      </c>
      <c r="N21" s="9">
        <v>1</v>
      </c>
      <c r="O21" s="9">
        <v>1</v>
      </c>
      <c r="P21" s="10">
        <v>1</v>
      </c>
      <c r="Q21" s="10">
        <v>1</v>
      </c>
      <c r="R21" s="10">
        <v>1</v>
      </c>
      <c r="S21" s="9">
        <v>1</v>
      </c>
      <c r="T21" s="9">
        <v>1</v>
      </c>
      <c r="U21" s="10">
        <v>1</v>
      </c>
      <c r="V21" s="10">
        <v>1</v>
      </c>
      <c r="W21" s="11">
        <v>1</v>
      </c>
      <c r="X21" s="5">
        <v>1</v>
      </c>
      <c r="Y21" s="5">
        <v>1</v>
      </c>
      <c r="Z21" s="5">
        <v>1</v>
      </c>
      <c r="AA21" s="5">
        <v>1</v>
      </c>
      <c r="AB21" s="5">
        <v>0</v>
      </c>
    </row>
    <row r="22" spans="1:28">
      <c r="A22" s="8">
        <v>1</v>
      </c>
      <c r="B22" s="8">
        <v>2</v>
      </c>
      <c r="C22" s="8">
        <v>2</v>
      </c>
      <c r="D22" s="8" t="s">
        <v>187</v>
      </c>
      <c r="E22" s="8">
        <v>2</v>
      </c>
      <c r="G22">
        <v>62</v>
      </c>
      <c r="H22" t="s">
        <v>215</v>
      </c>
      <c r="I22" t="s">
        <v>216</v>
      </c>
      <c r="J22" t="s">
        <v>29</v>
      </c>
      <c r="K22" t="s">
        <v>30</v>
      </c>
      <c r="L22" t="s">
        <v>217</v>
      </c>
      <c r="M22" s="8">
        <v>1</v>
      </c>
      <c r="N22" s="9">
        <v>2</v>
      </c>
      <c r="O22" s="9">
        <v>2</v>
      </c>
      <c r="P22" s="10">
        <v>2</v>
      </c>
      <c r="Q22" s="10">
        <v>2</v>
      </c>
      <c r="R22" s="10">
        <v>2</v>
      </c>
      <c r="S22" s="9">
        <v>2</v>
      </c>
      <c r="T22" s="9">
        <v>1</v>
      </c>
      <c r="U22" s="10">
        <v>1</v>
      </c>
      <c r="V22" s="10">
        <v>1</v>
      </c>
      <c r="W22" s="11">
        <v>1</v>
      </c>
      <c r="X22" s="5">
        <v>2</v>
      </c>
      <c r="Y22" s="5">
        <v>2</v>
      </c>
      <c r="Z22" s="5">
        <v>1.5</v>
      </c>
      <c r="AA22" s="5">
        <v>1</v>
      </c>
      <c r="AB22" s="5">
        <v>2</v>
      </c>
    </row>
    <row r="23" spans="1:28">
      <c r="A23" s="8">
        <v>1</v>
      </c>
      <c r="B23" s="8">
        <v>5</v>
      </c>
      <c r="C23" s="8">
        <v>4</v>
      </c>
      <c r="D23" s="8" t="s">
        <v>234</v>
      </c>
      <c r="E23" s="8">
        <v>1</v>
      </c>
      <c r="G23">
        <v>69</v>
      </c>
      <c r="H23" t="s">
        <v>235</v>
      </c>
      <c r="I23" t="s">
        <v>236</v>
      </c>
      <c r="J23" t="s">
        <v>29</v>
      </c>
      <c r="K23" t="s">
        <v>30</v>
      </c>
      <c r="L23" t="s">
        <v>233</v>
      </c>
      <c r="M23" s="8">
        <v>1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9">
        <v>0</v>
      </c>
      <c r="U23" s="10">
        <v>0</v>
      </c>
      <c r="V23" s="10">
        <v>0</v>
      </c>
      <c r="W23" s="11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</row>
    <row r="24" spans="1:28">
      <c r="A24" s="8">
        <v>2</v>
      </c>
      <c r="B24" s="8">
        <v>3</v>
      </c>
      <c r="C24" s="8">
        <v>3</v>
      </c>
      <c r="D24" s="8" t="s">
        <v>26</v>
      </c>
      <c r="E24" s="8">
        <v>1</v>
      </c>
      <c r="G24">
        <v>85</v>
      </c>
      <c r="H24" t="s">
        <v>281</v>
      </c>
      <c r="I24" t="s">
        <v>282</v>
      </c>
      <c r="J24" t="s">
        <v>29</v>
      </c>
      <c r="K24" t="s">
        <v>30</v>
      </c>
      <c r="L24" t="s">
        <v>283</v>
      </c>
      <c r="M24" s="8">
        <v>1</v>
      </c>
      <c r="N24" s="9">
        <v>1</v>
      </c>
      <c r="O24" s="9">
        <v>2</v>
      </c>
      <c r="P24" s="10">
        <v>2</v>
      </c>
      <c r="Q24" s="10">
        <v>1</v>
      </c>
      <c r="R24" s="10">
        <v>2</v>
      </c>
      <c r="S24" s="9">
        <v>1</v>
      </c>
      <c r="T24" s="9">
        <v>2</v>
      </c>
      <c r="U24" s="10">
        <v>2</v>
      </c>
      <c r="V24" s="10">
        <v>1</v>
      </c>
      <c r="W24" s="11">
        <v>2</v>
      </c>
      <c r="X24" s="5">
        <v>1.5</v>
      </c>
      <c r="Y24" s="5">
        <v>1.66666666666667</v>
      </c>
      <c r="Z24" s="5">
        <v>1.5</v>
      </c>
      <c r="AA24" s="5">
        <v>1.66666666666667</v>
      </c>
      <c r="AB24" s="5">
        <v>2</v>
      </c>
    </row>
    <row r="25" spans="1:28">
      <c r="A25" s="8">
        <v>2</v>
      </c>
      <c r="B25" s="8">
        <v>2</v>
      </c>
      <c r="C25" s="8">
        <v>3</v>
      </c>
      <c r="D25" s="8" t="s">
        <v>26</v>
      </c>
      <c r="E25" s="8">
        <v>2</v>
      </c>
      <c r="G25">
        <v>97</v>
      </c>
      <c r="H25" t="s">
        <v>319</v>
      </c>
      <c r="I25" t="s">
        <v>320</v>
      </c>
      <c r="J25" t="s">
        <v>29</v>
      </c>
      <c r="K25" t="s">
        <v>30</v>
      </c>
      <c r="L25" t="s">
        <v>321</v>
      </c>
      <c r="M25" s="8">
        <v>1</v>
      </c>
      <c r="N25" s="9">
        <v>2</v>
      </c>
      <c r="O25" s="9">
        <v>2</v>
      </c>
      <c r="P25" s="10">
        <v>2</v>
      </c>
      <c r="Q25" s="10">
        <v>2</v>
      </c>
      <c r="R25" s="10">
        <v>2</v>
      </c>
      <c r="S25" s="9">
        <v>2</v>
      </c>
      <c r="T25" s="9">
        <v>2</v>
      </c>
      <c r="U25" s="10">
        <v>2</v>
      </c>
      <c r="V25" s="10">
        <v>2</v>
      </c>
      <c r="W25" s="11">
        <v>2</v>
      </c>
      <c r="X25" s="5">
        <v>2</v>
      </c>
      <c r="Y25" s="5">
        <v>2</v>
      </c>
      <c r="Z25" s="5">
        <v>2</v>
      </c>
      <c r="AA25" s="5">
        <v>2</v>
      </c>
      <c r="AB25" s="5">
        <v>0</v>
      </c>
    </row>
    <row r="26" spans="1:28">
      <c r="A26" s="8">
        <v>2</v>
      </c>
      <c r="B26" s="8">
        <v>3</v>
      </c>
      <c r="C26" s="8">
        <v>3</v>
      </c>
      <c r="D26" s="8" t="s">
        <v>26</v>
      </c>
      <c r="E26" s="8">
        <v>1</v>
      </c>
      <c r="G26">
        <v>7</v>
      </c>
      <c r="H26" t="s">
        <v>46</v>
      </c>
      <c r="I26" t="s">
        <v>47</v>
      </c>
      <c r="J26" t="s">
        <v>29</v>
      </c>
      <c r="K26" t="s">
        <v>30</v>
      </c>
      <c r="L26" t="s">
        <v>48</v>
      </c>
      <c r="M26" s="8">
        <v>1</v>
      </c>
      <c r="N26" s="9">
        <v>3</v>
      </c>
      <c r="O26" s="9">
        <v>3</v>
      </c>
      <c r="P26" s="10">
        <v>2</v>
      </c>
      <c r="Q26" s="10">
        <v>1</v>
      </c>
      <c r="R26" s="10">
        <v>3</v>
      </c>
      <c r="S26" s="9">
        <v>3</v>
      </c>
      <c r="T26" s="9">
        <v>2</v>
      </c>
      <c r="U26" s="10">
        <v>3</v>
      </c>
      <c r="V26" s="10">
        <v>3</v>
      </c>
      <c r="W26" s="11">
        <v>3</v>
      </c>
      <c r="X26" s="5">
        <v>3</v>
      </c>
      <c r="Y26" s="5">
        <v>2</v>
      </c>
      <c r="Z26" s="5">
        <v>2.5</v>
      </c>
      <c r="AA26" s="5">
        <v>3</v>
      </c>
      <c r="AB26" s="5">
        <v>2</v>
      </c>
    </row>
    <row r="27" spans="1:28">
      <c r="A27" s="8">
        <v>2</v>
      </c>
      <c r="B27" s="8">
        <v>2</v>
      </c>
      <c r="C27" s="8">
        <v>2</v>
      </c>
      <c r="D27" s="8" t="s">
        <v>52</v>
      </c>
      <c r="E27" s="8">
        <v>2</v>
      </c>
      <c r="G27">
        <v>9</v>
      </c>
      <c r="H27" t="s">
        <v>53</v>
      </c>
      <c r="I27" t="s">
        <v>54</v>
      </c>
      <c r="J27" t="s">
        <v>29</v>
      </c>
      <c r="K27" t="s">
        <v>30</v>
      </c>
      <c r="L27" t="s">
        <v>55</v>
      </c>
      <c r="M27" s="8">
        <v>1</v>
      </c>
      <c r="N27" s="9">
        <v>3</v>
      </c>
      <c r="O27" s="9">
        <v>3</v>
      </c>
      <c r="P27" s="10">
        <v>0</v>
      </c>
      <c r="Q27" s="10">
        <v>0</v>
      </c>
      <c r="R27" s="10">
        <v>0</v>
      </c>
      <c r="S27" s="9">
        <v>3</v>
      </c>
      <c r="T27" s="9">
        <v>0</v>
      </c>
      <c r="U27" s="10">
        <v>3</v>
      </c>
      <c r="V27" s="10">
        <v>3</v>
      </c>
      <c r="W27" s="11">
        <v>3</v>
      </c>
      <c r="X27" s="5">
        <v>3</v>
      </c>
      <c r="Y27" s="5">
        <v>0</v>
      </c>
      <c r="Z27" s="5">
        <v>1.5</v>
      </c>
      <c r="AA27" s="5">
        <v>3</v>
      </c>
      <c r="AB27" s="5">
        <v>2</v>
      </c>
    </row>
    <row r="28" spans="1:28">
      <c r="A28" s="8">
        <v>2</v>
      </c>
      <c r="B28" s="8">
        <v>2</v>
      </c>
      <c r="C28" s="8">
        <v>3</v>
      </c>
      <c r="D28" s="8" t="s">
        <v>64</v>
      </c>
      <c r="E28" s="8">
        <v>2</v>
      </c>
      <c r="G28">
        <v>13</v>
      </c>
      <c r="H28" t="s">
        <v>65</v>
      </c>
      <c r="I28" t="s">
        <v>66</v>
      </c>
      <c r="J28" t="s">
        <v>29</v>
      </c>
      <c r="K28" t="s">
        <v>30</v>
      </c>
      <c r="L28" t="s">
        <v>67</v>
      </c>
      <c r="M28" s="8">
        <v>1</v>
      </c>
      <c r="N28" s="9">
        <v>0</v>
      </c>
      <c r="O28" s="9">
        <v>1</v>
      </c>
      <c r="P28" s="10">
        <v>0</v>
      </c>
      <c r="Q28" s="10">
        <v>2</v>
      </c>
      <c r="R28" s="10">
        <v>0</v>
      </c>
      <c r="S28" s="9">
        <v>0</v>
      </c>
      <c r="T28" s="9">
        <v>0</v>
      </c>
      <c r="U28" s="10">
        <v>2</v>
      </c>
      <c r="V28" s="10">
        <v>0</v>
      </c>
      <c r="W28" s="11">
        <v>0</v>
      </c>
      <c r="X28" s="5">
        <v>0.5</v>
      </c>
      <c r="Y28" s="5">
        <v>0.666666666666667</v>
      </c>
      <c r="Z28" s="5">
        <v>0</v>
      </c>
      <c r="AA28" s="5">
        <v>0.666666666666667</v>
      </c>
      <c r="AB28" s="5">
        <v>2</v>
      </c>
    </row>
    <row r="29" spans="1:28">
      <c r="A29" s="8">
        <v>2</v>
      </c>
      <c r="B29" s="8">
        <v>2</v>
      </c>
      <c r="C29" s="8">
        <v>3</v>
      </c>
      <c r="D29" s="8" t="s">
        <v>71</v>
      </c>
      <c r="E29" s="8">
        <v>1</v>
      </c>
      <c r="G29">
        <v>15</v>
      </c>
      <c r="H29" t="s">
        <v>72</v>
      </c>
      <c r="I29" t="s">
        <v>73</v>
      </c>
      <c r="J29" t="s">
        <v>29</v>
      </c>
      <c r="K29" t="s">
        <v>30</v>
      </c>
      <c r="L29" t="s">
        <v>74</v>
      </c>
      <c r="M29" s="8">
        <v>1</v>
      </c>
      <c r="N29" s="9">
        <v>3</v>
      </c>
      <c r="O29" s="9">
        <v>3</v>
      </c>
      <c r="P29" s="10">
        <v>3</v>
      </c>
      <c r="Q29" s="10">
        <v>1</v>
      </c>
      <c r="R29" s="10">
        <v>3</v>
      </c>
      <c r="S29" s="9">
        <v>2</v>
      </c>
      <c r="T29" s="9">
        <v>2</v>
      </c>
      <c r="U29" s="10">
        <v>3</v>
      </c>
      <c r="V29" s="10">
        <v>3</v>
      </c>
      <c r="W29" s="11">
        <v>3</v>
      </c>
      <c r="X29" s="5">
        <v>3</v>
      </c>
      <c r="Y29" s="5">
        <v>2.33333333333333</v>
      </c>
      <c r="Z29" s="5">
        <v>2</v>
      </c>
      <c r="AA29" s="5">
        <v>3</v>
      </c>
      <c r="AB29" s="5">
        <v>2</v>
      </c>
    </row>
    <row r="30" spans="1:28">
      <c r="A30" s="8">
        <v>2</v>
      </c>
      <c r="B30" s="8">
        <v>3</v>
      </c>
      <c r="C30" s="8">
        <v>4</v>
      </c>
      <c r="D30" s="8" t="s">
        <v>79</v>
      </c>
      <c r="E30" s="8">
        <v>1</v>
      </c>
      <c r="G30">
        <v>17</v>
      </c>
      <c r="H30" t="s">
        <v>80</v>
      </c>
      <c r="I30" t="s">
        <v>81</v>
      </c>
      <c r="J30" t="s">
        <v>29</v>
      </c>
      <c r="K30" t="s">
        <v>30</v>
      </c>
      <c r="L30" t="s">
        <v>82</v>
      </c>
      <c r="M30" s="8">
        <v>1</v>
      </c>
      <c r="N30" s="9">
        <v>1</v>
      </c>
      <c r="O30" s="9">
        <v>1</v>
      </c>
      <c r="P30" s="10">
        <v>1</v>
      </c>
      <c r="Q30" s="10">
        <v>1</v>
      </c>
      <c r="R30" s="10">
        <v>1</v>
      </c>
      <c r="S30" s="9">
        <v>1</v>
      </c>
      <c r="T30" s="9">
        <v>1</v>
      </c>
      <c r="U30" s="10">
        <v>1</v>
      </c>
      <c r="V30" s="10">
        <v>1</v>
      </c>
      <c r="W30" s="11">
        <v>1</v>
      </c>
      <c r="X30" s="5">
        <v>1</v>
      </c>
      <c r="Y30" s="5">
        <v>1</v>
      </c>
      <c r="Z30" s="5">
        <v>1</v>
      </c>
      <c r="AA30" s="5">
        <v>1</v>
      </c>
      <c r="AB30" s="5">
        <v>0</v>
      </c>
    </row>
    <row r="31" spans="1:28">
      <c r="A31" s="8">
        <v>2</v>
      </c>
      <c r="B31" s="8">
        <v>2</v>
      </c>
      <c r="C31" s="8">
        <v>3</v>
      </c>
      <c r="D31" s="8" t="s">
        <v>75</v>
      </c>
      <c r="E31" s="8">
        <v>2</v>
      </c>
      <c r="G31">
        <v>21</v>
      </c>
      <c r="H31" t="s">
        <v>92</v>
      </c>
      <c r="I31" t="s">
        <v>93</v>
      </c>
      <c r="J31" t="s">
        <v>29</v>
      </c>
      <c r="K31" t="s">
        <v>30</v>
      </c>
      <c r="L31" t="s">
        <v>94</v>
      </c>
      <c r="M31" s="8">
        <v>1</v>
      </c>
      <c r="N31" s="9">
        <v>2</v>
      </c>
      <c r="O31" s="9">
        <v>2</v>
      </c>
      <c r="P31" s="10">
        <v>2</v>
      </c>
      <c r="Q31" s="10">
        <v>2</v>
      </c>
      <c r="R31" s="10">
        <v>0</v>
      </c>
      <c r="S31" s="9">
        <v>0</v>
      </c>
      <c r="T31" s="9">
        <v>2</v>
      </c>
      <c r="U31" s="10">
        <v>2</v>
      </c>
      <c r="V31" s="10">
        <v>2</v>
      </c>
      <c r="W31" s="11">
        <v>2</v>
      </c>
      <c r="X31" s="5">
        <v>2</v>
      </c>
      <c r="Y31" s="5">
        <v>1.33333333333333</v>
      </c>
      <c r="Z31" s="5">
        <v>1</v>
      </c>
      <c r="AA31" s="5">
        <v>2</v>
      </c>
      <c r="AB31" s="5">
        <v>2</v>
      </c>
    </row>
    <row r="32" spans="1:28">
      <c r="A32" s="8">
        <v>2</v>
      </c>
      <c r="B32" s="8">
        <v>2</v>
      </c>
      <c r="C32" s="8">
        <v>3</v>
      </c>
      <c r="D32" s="8" t="s">
        <v>75</v>
      </c>
      <c r="E32" s="8">
        <v>2</v>
      </c>
      <c r="G32">
        <v>22</v>
      </c>
      <c r="H32" t="s">
        <v>95</v>
      </c>
      <c r="I32" t="s">
        <v>96</v>
      </c>
      <c r="J32" t="s">
        <v>29</v>
      </c>
      <c r="K32" t="s">
        <v>30</v>
      </c>
      <c r="L32" t="s">
        <v>97</v>
      </c>
      <c r="M32" s="8">
        <v>1</v>
      </c>
      <c r="N32" s="9">
        <v>2</v>
      </c>
      <c r="O32" s="9">
        <v>2</v>
      </c>
      <c r="P32" s="10">
        <v>2</v>
      </c>
      <c r="Q32" s="10">
        <v>0</v>
      </c>
      <c r="R32" s="10">
        <v>1</v>
      </c>
      <c r="S32" s="9">
        <v>2</v>
      </c>
      <c r="T32" s="9">
        <v>2</v>
      </c>
      <c r="U32" s="10">
        <v>2</v>
      </c>
      <c r="V32" s="10">
        <v>1</v>
      </c>
      <c r="W32" s="11">
        <v>1</v>
      </c>
      <c r="X32" s="5">
        <v>2</v>
      </c>
      <c r="Y32" s="5">
        <v>1</v>
      </c>
      <c r="Z32" s="5">
        <v>2</v>
      </c>
      <c r="AA32" s="5">
        <v>1.33333333333333</v>
      </c>
      <c r="AB32" s="5">
        <v>2</v>
      </c>
    </row>
    <row r="33" spans="1:28">
      <c r="A33" s="8">
        <v>2</v>
      </c>
      <c r="B33" s="8">
        <v>2</v>
      </c>
      <c r="C33" s="8">
        <v>3</v>
      </c>
      <c r="D33" s="8" t="s">
        <v>75</v>
      </c>
      <c r="E33" s="8">
        <v>2</v>
      </c>
      <c r="G33">
        <v>23</v>
      </c>
      <c r="H33" t="s">
        <v>98</v>
      </c>
      <c r="I33" t="s">
        <v>99</v>
      </c>
      <c r="J33" t="s">
        <v>29</v>
      </c>
      <c r="K33" t="s">
        <v>30</v>
      </c>
      <c r="L33" t="s">
        <v>100</v>
      </c>
      <c r="M33" s="8">
        <v>1</v>
      </c>
      <c r="N33" s="9">
        <v>3</v>
      </c>
      <c r="O33" s="9">
        <v>3</v>
      </c>
      <c r="P33" s="10">
        <v>3</v>
      </c>
      <c r="Q33" s="10">
        <v>1</v>
      </c>
      <c r="R33" s="10">
        <v>2</v>
      </c>
      <c r="S33" s="9">
        <v>3</v>
      </c>
      <c r="T33" s="9">
        <v>3</v>
      </c>
      <c r="U33" s="10">
        <v>3</v>
      </c>
      <c r="V33" s="10">
        <v>3</v>
      </c>
      <c r="W33" s="11">
        <v>3</v>
      </c>
      <c r="X33" s="5">
        <v>3</v>
      </c>
      <c r="Y33" s="5">
        <v>2</v>
      </c>
      <c r="Z33" s="5">
        <v>3</v>
      </c>
      <c r="AA33" s="5">
        <v>3</v>
      </c>
      <c r="AB33" s="5">
        <v>3</v>
      </c>
    </row>
    <row r="34" spans="1:28">
      <c r="A34" s="8">
        <v>1</v>
      </c>
      <c r="B34" s="8">
        <v>3</v>
      </c>
      <c r="C34" s="8">
        <v>4</v>
      </c>
      <c r="D34" s="8" t="s">
        <v>26</v>
      </c>
      <c r="E34" s="8">
        <v>1</v>
      </c>
      <c r="G34">
        <v>24</v>
      </c>
      <c r="H34" t="s">
        <v>101</v>
      </c>
      <c r="I34" t="s">
        <v>102</v>
      </c>
      <c r="J34" t="s">
        <v>29</v>
      </c>
      <c r="K34" t="s">
        <v>30</v>
      </c>
      <c r="L34" t="s">
        <v>31</v>
      </c>
      <c r="M34" s="8">
        <v>1</v>
      </c>
      <c r="N34" s="9">
        <v>3</v>
      </c>
      <c r="O34" s="9">
        <v>3</v>
      </c>
      <c r="P34" s="10">
        <v>3</v>
      </c>
      <c r="Q34" s="10">
        <v>3</v>
      </c>
      <c r="R34" s="10">
        <v>3</v>
      </c>
      <c r="S34" s="9">
        <v>3</v>
      </c>
      <c r="T34" s="9">
        <v>3</v>
      </c>
      <c r="U34" s="10">
        <v>3</v>
      </c>
      <c r="V34" s="10">
        <v>3</v>
      </c>
      <c r="W34" s="11">
        <v>3</v>
      </c>
      <c r="X34" s="5">
        <v>3</v>
      </c>
      <c r="Y34" s="5">
        <v>3</v>
      </c>
      <c r="Z34" s="5">
        <v>3</v>
      </c>
      <c r="AA34" s="5">
        <v>3</v>
      </c>
      <c r="AB34" s="5">
        <v>0</v>
      </c>
    </row>
    <row r="35" ht="13" spans="1:29">
      <c r="A35" s="8">
        <v>2</v>
      </c>
      <c r="B35" s="8">
        <v>2</v>
      </c>
      <c r="C35" s="8">
        <v>3</v>
      </c>
      <c r="D35" s="8" t="s">
        <v>103</v>
      </c>
      <c r="E35" s="8">
        <v>1</v>
      </c>
      <c r="G35">
        <v>25</v>
      </c>
      <c r="H35" t="s">
        <v>104</v>
      </c>
      <c r="I35" t="s">
        <v>105</v>
      </c>
      <c r="J35" t="s">
        <v>29</v>
      </c>
      <c r="K35" t="s">
        <v>30</v>
      </c>
      <c r="L35" t="s">
        <v>106</v>
      </c>
      <c r="M35" s="8">
        <v>2</v>
      </c>
      <c r="N35" s="9">
        <v>0</v>
      </c>
      <c r="O35" s="9">
        <v>2</v>
      </c>
      <c r="P35" s="10">
        <v>0</v>
      </c>
      <c r="Q35" s="10">
        <v>0</v>
      </c>
      <c r="R35" s="10">
        <v>0</v>
      </c>
      <c r="S35" s="9">
        <v>0</v>
      </c>
      <c r="T35" s="9">
        <v>0</v>
      </c>
      <c r="U35" s="10">
        <v>3</v>
      </c>
      <c r="V35" s="10">
        <v>2</v>
      </c>
      <c r="W35" s="11">
        <v>3</v>
      </c>
      <c r="X35" s="5">
        <v>1</v>
      </c>
      <c r="Y35" s="5">
        <v>0</v>
      </c>
      <c r="Z35" s="5">
        <v>0</v>
      </c>
      <c r="AA35" s="5">
        <v>2.66666666666667</v>
      </c>
      <c r="AB35" s="5">
        <v>1</v>
      </c>
      <c r="AC35" s="4" t="s">
        <v>3</v>
      </c>
    </row>
    <row r="36" ht="13" spans="1:29">
      <c r="A36" s="8">
        <v>1</v>
      </c>
      <c r="B36" s="8">
        <v>2</v>
      </c>
      <c r="C36" s="8">
        <v>2</v>
      </c>
      <c r="D36" s="8" t="s">
        <v>107</v>
      </c>
      <c r="E36" s="8">
        <v>2</v>
      </c>
      <c r="G36">
        <v>26</v>
      </c>
      <c r="H36" t="s">
        <v>108</v>
      </c>
      <c r="I36" t="s">
        <v>109</v>
      </c>
      <c r="J36" t="s">
        <v>29</v>
      </c>
      <c r="K36" t="s">
        <v>30</v>
      </c>
      <c r="L36" t="s">
        <v>110</v>
      </c>
      <c r="M36" s="8">
        <v>2</v>
      </c>
      <c r="N36" s="9">
        <v>0</v>
      </c>
      <c r="O36" s="9">
        <v>0</v>
      </c>
      <c r="P36" s="10">
        <v>0</v>
      </c>
      <c r="Q36" s="10">
        <v>1</v>
      </c>
      <c r="R36" s="10">
        <v>0</v>
      </c>
      <c r="S36" s="9">
        <v>0</v>
      </c>
      <c r="T36" s="9">
        <v>0</v>
      </c>
      <c r="U36" s="10">
        <v>0</v>
      </c>
      <c r="V36" s="10">
        <v>1</v>
      </c>
      <c r="W36" s="11">
        <v>1</v>
      </c>
      <c r="X36" s="5">
        <v>0</v>
      </c>
      <c r="Y36" s="5">
        <v>0.333333333333333</v>
      </c>
      <c r="Z36" s="5">
        <v>0</v>
      </c>
      <c r="AA36" s="5">
        <v>0.666666666666667</v>
      </c>
      <c r="AB36" s="5">
        <v>1</v>
      </c>
      <c r="AC36" s="4" t="s">
        <v>3</v>
      </c>
    </row>
    <row r="37" ht="13" spans="1:29">
      <c r="A37" s="8">
        <v>2</v>
      </c>
      <c r="B37" s="8">
        <v>2</v>
      </c>
      <c r="C37" s="8">
        <v>3</v>
      </c>
      <c r="D37" s="8" t="s">
        <v>26</v>
      </c>
      <c r="E37" s="8">
        <v>2</v>
      </c>
      <c r="G37">
        <v>29</v>
      </c>
      <c r="H37" t="s">
        <v>118</v>
      </c>
      <c r="I37" t="s">
        <v>119</v>
      </c>
      <c r="J37" t="s">
        <v>29</v>
      </c>
      <c r="K37" t="s">
        <v>30</v>
      </c>
      <c r="L37" t="s">
        <v>120</v>
      </c>
      <c r="M37" s="8">
        <v>2</v>
      </c>
      <c r="N37" s="9">
        <v>1</v>
      </c>
      <c r="O37" s="9">
        <v>1</v>
      </c>
      <c r="P37" s="10">
        <v>1</v>
      </c>
      <c r="Q37" s="10">
        <v>1</v>
      </c>
      <c r="R37" s="10">
        <v>2</v>
      </c>
      <c r="S37" s="9">
        <v>2</v>
      </c>
      <c r="T37" s="9">
        <v>0</v>
      </c>
      <c r="U37" s="10">
        <v>2</v>
      </c>
      <c r="V37" s="10">
        <v>2</v>
      </c>
      <c r="W37" s="11">
        <v>1</v>
      </c>
      <c r="X37" s="5">
        <v>1</v>
      </c>
      <c r="Y37" s="5">
        <v>1.33333333333333</v>
      </c>
      <c r="Z37" s="5">
        <v>1</v>
      </c>
      <c r="AA37" s="5">
        <v>1.66666666666667</v>
      </c>
      <c r="AB37" s="5">
        <v>1</v>
      </c>
      <c r="AC37" s="4" t="s">
        <v>361</v>
      </c>
    </row>
    <row r="38" ht="13" spans="1:29">
      <c r="A38" s="8">
        <v>2</v>
      </c>
      <c r="B38" s="8">
        <v>2</v>
      </c>
      <c r="C38" s="8">
        <v>3</v>
      </c>
      <c r="D38" s="8" t="s">
        <v>75</v>
      </c>
      <c r="E38" s="8">
        <v>1</v>
      </c>
      <c r="G38">
        <v>31</v>
      </c>
      <c r="H38" t="s">
        <v>124</v>
      </c>
      <c r="I38" t="s">
        <v>125</v>
      </c>
      <c r="J38" t="s">
        <v>29</v>
      </c>
      <c r="K38" t="s">
        <v>30</v>
      </c>
      <c r="L38" t="s">
        <v>126</v>
      </c>
      <c r="M38" s="8">
        <v>2</v>
      </c>
      <c r="N38" s="9">
        <v>1</v>
      </c>
      <c r="O38" s="9">
        <v>1</v>
      </c>
      <c r="P38" s="10">
        <v>1</v>
      </c>
      <c r="Q38" s="10">
        <v>3</v>
      </c>
      <c r="R38" s="10">
        <v>3</v>
      </c>
      <c r="S38" s="9">
        <v>0</v>
      </c>
      <c r="T38" s="9">
        <v>0</v>
      </c>
      <c r="U38" s="10">
        <v>2</v>
      </c>
      <c r="V38" s="10">
        <v>1</v>
      </c>
      <c r="W38" s="11">
        <v>0</v>
      </c>
      <c r="X38" s="5">
        <v>1</v>
      </c>
      <c r="Y38" s="5">
        <v>2.33333333333333</v>
      </c>
      <c r="Z38" s="5">
        <v>0</v>
      </c>
      <c r="AA38" s="5">
        <v>1</v>
      </c>
      <c r="AB38" s="5">
        <v>1</v>
      </c>
      <c r="AC38" s="4" t="s">
        <v>1</v>
      </c>
    </row>
    <row r="39" ht="13" spans="1:29">
      <c r="A39" s="8">
        <v>2</v>
      </c>
      <c r="B39" s="8">
        <v>2</v>
      </c>
      <c r="C39" s="8">
        <v>3</v>
      </c>
      <c r="D39" s="8" t="s">
        <v>75</v>
      </c>
      <c r="E39" s="8">
        <v>2</v>
      </c>
      <c r="G39">
        <v>34</v>
      </c>
      <c r="H39" t="s">
        <v>134</v>
      </c>
      <c r="I39" t="s">
        <v>135</v>
      </c>
      <c r="J39" t="s">
        <v>29</v>
      </c>
      <c r="K39" t="s">
        <v>30</v>
      </c>
      <c r="L39" t="s">
        <v>136</v>
      </c>
      <c r="M39" s="8">
        <v>2</v>
      </c>
      <c r="N39" s="9">
        <v>2</v>
      </c>
      <c r="O39" s="9">
        <v>3</v>
      </c>
      <c r="P39" s="10">
        <v>2</v>
      </c>
      <c r="Q39" s="10">
        <v>2</v>
      </c>
      <c r="R39" s="10">
        <v>1</v>
      </c>
      <c r="S39" s="9">
        <v>2</v>
      </c>
      <c r="T39" s="9">
        <v>1</v>
      </c>
      <c r="U39" s="10">
        <v>2</v>
      </c>
      <c r="V39" s="10">
        <v>2</v>
      </c>
      <c r="W39" s="11">
        <v>2</v>
      </c>
      <c r="X39" s="5">
        <v>2.5</v>
      </c>
      <c r="Y39" s="5">
        <v>1.66666666666667</v>
      </c>
      <c r="Z39" s="5">
        <v>1.5</v>
      </c>
      <c r="AA39" s="5">
        <v>2</v>
      </c>
      <c r="AB39" s="5">
        <v>1</v>
      </c>
      <c r="AC39" s="4" t="s">
        <v>0</v>
      </c>
    </row>
    <row r="40" ht="13" spans="1:29">
      <c r="A40" s="8">
        <v>2</v>
      </c>
      <c r="B40" s="8">
        <v>2</v>
      </c>
      <c r="C40" s="8">
        <v>3</v>
      </c>
      <c r="D40" s="8" t="s">
        <v>140</v>
      </c>
      <c r="E40" s="8">
        <v>1</v>
      </c>
      <c r="G40">
        <v>36</v>
      </c>
      <c r="H40" t="s">
        <v>141</v>
      </c>
      <c r="I40" t="s">
        <v>142</v>
      </c>
      <c r="J40" t="s">
        <v>29</v>
      </c>
      <c r="K40" t="s">
        <v>30</v>
      </c>
      <c r="L40" t="s">
        <v>143</v>
      </c>
      <c r="M40" s="8">
        <v>2</v>
      </c>
      <c r="N40" s="9">
        <v>3</v>
      </c>
      <c r="O40" s="9">
        <v>2</v>
      </c>
      <c r="P40" s="10">
        <v>3</v>
      </c>
      <c r="Q40" s="10">
        <v>2</v>
      </c>
      <c r="R40" s="10">
        <v>3</v>
      </c>
      <c r="S40" s="9">
        <v>1</v>
      </c>
      <c r="T40" s="9">
        <v>1</v>
      </c>
      <c r="U40" s="10">
        <v>2</v>
      </c>
      <c r="V40" s="10">
        <v>1</v>
      </c>
      <c r="W40" s="11">
        <v>2</v>
      </c>
      <c r="X40" s="5">
        <v>2.5</v>
      </c>
      <c r="Y40" s="5">
        <v>2.66666666666667</v>
      </c>
      <c r="Z40" s="5">
        <v>1</v>
      </c>
      <c r="AA40" s="5">
        <v>1.66666666666667</v>
      </c>
      <c r="AB40" s="5">
        <v>1</v>
      </c>
      <c r="AC40" s="4" t="s">
        <v>0</v>
      </c>
    </row>
    <row r="41" ht="13" spans="1:29">
      <c r="A41" s="8">
        <v>2</v>
      </c>
      <c r="B41" s="8">
        <v>2</v>
      </c>
      <c r="C41" s="8">
        <v>3</v>
      </c>
      <c r="D41" s="8" t="s">
        <v>75</v>
      </c>
      <c r="E41" s="8">
        <v>2</v>
      </c>
      <c r="G41">
        <v>38</v>
      </c>
      <c r="H41" t="s">
        <v>147</v>
      </c>
      <c r="I41" t="s">
        <v>148</v>
      </c>
      <c r="J41" t="s">
        <v>29</v>
      </c>
      <c r="K41" t="s">
        <v>30</v>
      </c>
      <c r="L41" t="s">
        <v>149</v>
      </c>
      <c r="M41" s="8">
        <v>2</v>
      </c>
      <c r="N41" s="9">
        <v>1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9">
        <v>0</v>
      </c>
      <c r="U41" s="10">
        <v>0</v>
      </c>
      <c r="V41" s="10">
        <v>0</v>
      </c>
      <c r="W41" s="11">
        <v>0</v>
      </c>
      <c r="X41" s="5">
        <v>0.5</v>
      </c>
      <c r="Y41" s="5">
        <v>0</v>
      </c>
      <c r="Z41" s="5">
        <v>0</v>
      </c>
      <c r="AA41" s="5">
        <v>0</v>
      </c>
      <c r="AB41" s="5">
        <v>1</v>
      </c>
      <c r="AC41" s="4" t="s">
        <v>0</v>
      </c>
    </row>
    <row r="42" ht="13" spans="1:29">
      <c r="A42" s="8">
        <v>2</v>
      </c>
      <c r="B42" s="8">
        <v>2</v>
      </c>
      <c r="C42" s="8">
        <v>3</v>
      </c>
      <c r="D42" s="8" t="s">
        <v>26</v>
      </c>
      <c r="E42" s="8">
        <v>2</v>
      </c>
      <c r="G42">
        <v>42</v>
      </c>
      <c r="H42" t="s">
        <v>160</v>
      </c>
      <c r="I42" t="s">
        <v>90</v>
      </c>
      <c r="J42" t="s">
        <v>29</v>
      </c>
      <c r="K42" t="s">
        <v>30</v>
      </c>
      <c r="L42" t="s">
        <v>161</v>
      </c>
      <c r="M42" s="8">
        <v>2</v>
      </c>
      <c r="N42" s="9">
        <v>1</v>
      </c>
      <c r="O42" s="9">
        <v>1</v>
      </c>
      <c r="P42" s="10">
        <v>1</v>
      </c>
      <c r="Q42" s="10">
        <v>0</v>
      </c>
      <c r="R42" s="10">
        <v>0</v>
      </c>
      <c r="S42" s="9">
        <v>0</v>
      </c>
      <c r="T42" s="9">
        <v>0</v>
      </c>
      <c r="U42" s="10">
        <v>1</v>
      </c>
      <c r="V42" s="10">
        <v>0</v>
      </c>
      <c r="W42" s="11">
        <v>0</v>
      </c>
      <c r="X42" s="5">
        <v>1</v>
      </c>
      <c r="Y42" s="5">
        <v>0.333333333333333</v>
      </c>
      <c r="Z42" s="5">
        <v>0</v>
      </c>
      <c r="AA42" s="5">
        <v>0.333333333333333</v>
      </c>
      <c r="AB42" s="5">
        <v>1</v>
      </c>
      <c r="AC42" s="4" t="s">
        <v>0</v>
      </c>
    </row>
    <row r="43" ht="13" spans="1:29">
      <c r="A43" s="8">
        <v>2</v>
      </c>
      <c r="B43" s="8">
        <v>2</v>
      </c>
      <c r="C43" s="8">
        <v>3</v>
      </c>
      <c r="D43" s="8" t="s">
        <v>75</v>
      </c>
      <c r="E43" s="8">
        <v>1</v>
      </c>
      <c r="G43">
        <v>45</v>
      </c>
      <c r="H43" t="s">
        <v>168</v>
      </c>
      <c r="I43" t="s">
        <v>169</v>
      </c>
      <c r="J43" t="s">
        <v>29</v>
      </c>
      <c r="K43" t="s">
        <v>30</v>
      </c>
      <c r="L43" t="s">
        <v>170</v>
      </c>
      <c r="M43" s="8">
        <v>2</v>
      </c>
      <c r="N43" s="9">
        <v>2</v>
      </c>
      <c r="O43" s="9">
        <v>2</v>
      </c>
      <c r="P43" s="10">
        <v>1</v>
      </c>
      <c r="Q43" s="10">
        <v>1</v>
      </c>
      <c r="R43" s="10">
        <v>1</v>
      </c>
      <c r="S43" s="9">
        <v>1</v>
      </c>
      <c r="T43" s="9">
        <v>1</v>
      </c>
      <c r="U43" s="10">
        <v>2</v>
      </c>
      <c r="V43" s="10">
        <v>2</v>
      </c>
      <c r="W43" s="11">
        <v>1</v>
      </c>
      <c r="X43" s="5">
        <v>2</v>
      </c>
      <c r="Y43" s="5">
        <v>1</v>
      </c>
      <c r="Z43" s="5">
        <v>1</v>
      </c>
      <c r="AA43" s="5">
        <v>1.66666666666667</v>
      </c>
      <c r="AB43" s="5">
        <v>1</v>
      </c>
      <c r="AC43" s="4" t="s">
        <v>0</v>
      </c>
    </row>
    <row r="44" ht="13" spans="1:29">
      <c r="A44" s="8">
        <v>2</v>
      </c>
      <c r="B44" s="8">
        <v>2</v>
      </c>
      <c r="C44" s="8">
        <v>3</v>
      </c>
      <c r="D44" s="8" t="s">
        <v>75</v>
      </c>
      <c r="E44" s="8">
        <v>2</v>
      </c>
      <c r="G44">
        <v>48</v>
      </c>
      <c r="H44" t="s">
        <v>176</v>
      </c>
      <c r="I44" t="s">
        <v>177</v>
      </c>
      <c r="J44" t="s">
        <v>29</v>
      </c>
      <c r="K44" t="s">
        <v>30</v>
      </c>
      <c r="L44" t="s">
        <v>178</v>
      </c>
      <c r="M44" s="8">
        <v>2</v>
      </c>
      <c r="N44" s="9">
        <v>2</v>
      </c>
      <c r="O44" s="9">
        <v>3</v>
      </c>
      <c r="P44" s="10">
        <v>1</v>
      </c>
      <c r="Q44" s="10">
        <v>2</v>
      </c>
      <c r="R44" s="10">
        <v>3</v>
      </c>
      <c r="S44" s="9">
        <v>2</v>
      </c>
      <c r="T44" s="9">
        <v>2</v>
      </c>
      <c r="U44" s="10">
        <v>2</v>
      </c>
      <c r="V44" s="10">
        <v>1</v>
      </c>
      <c r="W44" s="11">
        <v>1</v>
      </c>
      <c r="X44" s="5">
        <v>2.5</v>
      </c>
      <c r="Y44" s="5">
        <v>2</v>
      </c>
      <c r="Z44" s="5">
        <v>2</v>
      </c>
      <c r="AA44" s="5">
        <v>1.33333333333333</v>
      </c>
      <c r="AB44" s="5">
        <v>1</v>
      </c>
      <c r="AC44" s="4" t="s">
        <v>0</v>
      </c>
    </row>
    <row r="45" ht="13" spans="1:29">
      <c r="A45" s="8">
        <v>2</v>
      </c>
      <c r="B45" s="8">
        <v>2</v>
      </c>
      <c r="C45" s="8">
        <v>3</v>
      </c>
      <c r="D45" s="8" t="s">
        <v>26</v>
      </c>
      <c r="E45" s="8">
        <v>1</v>
      </c>
      <c r="G45">
        <v>49</v>
      </c>
      <c r="H45" t="s">
        <v>179</v>
      </c>
      <c r="I45" t="s">
        <v>180</v>
      </c>
      <c r="J45" t="s">
        <v>29</v>
      </c>
      <c r="K45" t="s">
        <v>30</v>
      </c>
      <c r="L45" t="s">
        <v>181</v>
      </c>
      <c r="M45" s="8">
        <v>2</v>
      </c>
      <c r="N45" s="9">
        <v>3</v>
      </c>
      <c r="O45" s="9">
        <v>3</v>
      </c>
      <c r="P45" s="10">
        <v>3</v>
      </c>
      <c r="Q45" s="10">
        <v>0</v>
      </c>
      <c r="R45" s="10">
        <v>1</v>
      </c>
      <c r="S45" s="9">
        <v>2</v>
      </c>
      <c r="T45" s="9">
        <v>2</v>
      </c>
      <c r="U45" s="10">
        <v>2</v>
      </c>
      <c r="V45" s="10">
        <v>2</v>
      </c>
      <c r="W45" s="11">
        <v>2</v>
      </c>
      <c r="X45" s="5">
        <v>3</v>
      </c>
      <c r="Y45" s="5">
        <v>1.33333333333333</v>
      </c>
      <c r="Z45" s="5">
        <v>2</v>
      </c>
      <c r="AA45" s="5">
        <v>2</v>
      </c>
      <c r="AB45" s="5">
        <v>1</v>
      </c>
      <c r="AC45" s="4" t="s">
        <v>0</v>
      </c>
    </row>
    <row r="46" ht="13" spans="1:29">
      <c r="A46" s="8">
        <v>2</v>
      </c>
      <c r="B46" s="8">
        <v>2</v>
      </c>
      <c r="C46" s="8">
        <v>2</v>
      </c>
      <c r="D46" s="8" t="s">
        <v>26</v>
      </c>
      <c r="E46" s="8">
        <v>1</v>
      </c>
      <c r="G46">
        <v>51</v>
      </c>
      <c r="H46" t="s">
        <v>184</v>
      </c>
      <c r="I46" t="s">
        <v>185</v>
      </c>
      <c r="J46" t="s">
        <v>29</v>
      </c>
      <c r="K46" t="s">
        <v>30</v>
      </c>
      <c r="L46" t="s">
        <v>186</v>
      </c>
      <c r="M46" s="8">
        <v>2</v>
      </c>
      <c r="N46" s="9">
        <v>1</v>
      </c>
      <c r="O46" s="9">
        <v>1</v>
      </c>
      <c r="P46" s="10">
        <v>0</v>
      </c>
      <c r="Q46" s="10">
        <v>1</v>
      </c>
      <c r="R46" s="10">
        <v>0</v>
      </c>
      <c r="S46" s="9">
        <v>0</v>
      </c>
      <c r="T46" s="9">
        <v>0</v>
      </c>
      <c r="U46" s="10">
        <v>1</v>
      </c>
      <c r="V46" s="10">
        <v>1</v>
      </c>
      <c r="W46" s="11">
        <v>0</v>
      </c>
      <c r="X46" s="5">
        <v>1</v>
      </c>
      <c r="Y46" s="5">
        <v>0.333333333333333</v>
      </c>
      <c r="Z46" s="5">
        <v>0</v>
      </c>
      <c r="AA46" s="5">
        <v>0.666666666666667</v>
      </c>
      <c r="AB46" s="5">
        <v>1</v>
      </c>
      <c r="AC46" s="4" t="s">
        <v>0</v>
      </c>
    </row>
    <row r="47" ht="13" spans="1:29">
      <c r="A47" s="8">
        <v>2</v>
      </c>
      <c r="B47" s="8">
        <v>4</v>
      </c>
      <c r="C47" s="8">
        <v>4</v>
      </c>
      <c r="D47" s="8" t="s">
        <v>187</v>
      </c>
      <c r="E47" s="8">
        <v>2</v>
      </c>
      <c r="G47">
        <v>52</v>
      </c>
      <c r="H47" t="s">
        <v>188</v>
      </c>
      <c r="I47" t="s">
        <v>189</v>
      </c>
      <c r="J47" t="s">
        <v>29</v>
      </c>
      <c r="K47" t="s">
        <v>30</v>
      </c>
      <c r="L47" t="s">
        <v>190</v>
      </c>
      <c r="M47" s="8">
        <v>2</v>
      </c>
      <c r="N47" s="9">
        <v>2</v>
      </c>
      <c r="O47" s="9">
        <v>2</v>
      </c>
      <c r="P47" s="10">
        <v>1</v>
      </c>
      <c r="Q47" s="10">
        <v>1</v>
      </c>
      <c r="R47" s="10">
        <v>2</v>
      </c>
      <c r="S47" s="9">
        <v>1</v>
      </c>
      <c r="T47" s="9">
        <v>1</v>
      </c>
      <c r="U47" s="10">
        <v>2</v>
      </c>
      <c r="V47" s="10">
        <v>1</v>
      </c>
      <c r="W47" s="11">
        <v>2</v>
      </c>
      <c r="X47" s="5">
        <v>2</v>
      </c>
      <c r="Y47" s="5">
        <v>1.33333333333333</v>
      </c>
      <c r="Z47" s="5">
        <v>1</v>
      </c>
      <c r="AA47" s="5">
        <v>1.66666666666667</v>
      </c>
      <c r="AB47" s="5">
        <v>1</v>
      </c>
      <c r="AC47" s="4" t="s">
        <v>0</v>
      </c>
    </row>
    <row r="48" ht="13" spans="1:29">
      <c r="A48" s="8">
        <v>2</v>
      </c>
      <c r="B48" s="8">
        <v>2</v>
      </c>
      <c r="C48" s="8">
        <v>2</v>
      </c>
      <c r="D48" s="8" t="s">
        <v>79</v>
      </c>
      <c r="E48" s="8">
        <v>1</v>
      </c>
      <c r="G48">
        <v>57</v>
      </c>
      <c r="H48" t="s">
        <v>204</v>
      </c>
      <c r="I48" t="s">
        <v>62</v>
      </c>
      <c r="J48" t="s">
        <v>29</v>
      </c>
      <c r="K48" t="s">
        <v>30</v>
      </c>
      <c r="L48" t="s">
        <v>203</v>
      </c>
      <c r="M48" s="8">
        <v>2</v>
      </c>
      <c r="N48" s="9">
        <v>2</v>
      </c>
      <c r="O48" s="9">
        <v>3</v>
      </c>
      <c r="P48" s="10">
        <v>3</v>
      </c>
      <c r="Q48" s="10">
        <v>2</v>
      </c>
      <c r="R48" s="10">
        <v>2</v>
      </c>
      <c r="S48" s="9">
        <v>2</v>
      </c>
      <c r="T48" s="9">
        <v>0</v>
      </c>
      <c r="U48" s="10">
        <v>2</v>
      </c>
      <c r="V48" s="10">
        <v>3</v>
      </c>
      <c r="W48" s="11">
        <v>2</v>
      </c>
      <c r="X48" s="5">
        <v>2.5</v>
      </c>
      <c r="Y48" s="5">
        <v>2.33333333333333</v>
      </c>
      <c r="Z48" s="5">
        <v>1</v>
      </c>
      <c r="AA48" s="5">
        <v>2.33333333333333</v>
      </c>
      <c r="AB48" s="5">
        <v>1</v>
      </c>
      <c r="AC48" s="4" t="s">
        <v>0</v>
      </c>
    </row>
    <row r="49" ht="13" spans="1:29">
      <c r="A49" s="8">
        <v>2</v>
      </c>
      <c r="B49" s="8">
        <v>2</v>
      </c>
      <c r="C49" s="8">
        <v>3</v>
      </c>
      <c r="D49" s="8" t="s">
        <v>187</v>
      </c>
      <c r="E49" s="8">
        <v>2</v>
      </c>
      <c r="G49">
        <v>61</v>
      </c>
      <c r="H49" t="s">
        <v>213</v>
      </c>
      <c r="I49" t="s">
        <v>169</v>
      </c>
      <c r="J49" t="s">
        <v>29</v>
      </c>
      <c r="K49" t="s">
        <v>30</v>
      </c>
      <c r="L49" t="s">
        <v>214</v>
      </c>
      <c r="M49" s="8">
        <v>2</v>
      </c>
      <c r="N49" s="9">
        <v>3</v>
      </c>
      <c r="O49" s="9">
        <v>3</v>
      </c>
      <c r="P49" s="10">
        <v>3</v>
      </c>
      <c r="Q49" s="10">
        <v>1</v>
      </c>
      <c r="R49" s="10">
        <v>1</v>
      </c>
      <c r="S49" s="9">
        <v>1</v>
      </c>
      <c r="T49" s="9">
        <v>1</v>
      </c>
      <c r="U49" s="10">
        <v>2</v>
      </c>
      <c r="V49" s="10">
        <v>1</v>
      </c>
      <c r="W49" s="11">
        <v>1</v>
      </c>
      <c r="X49" s="5">
        <v>3</v>
      </c>
      <c r="Y49" s="5">
        <v>1.66666666666667</v>
      </c>
      <c r="Z49" s="5">
        <v>1</v>
      </c>
      <c r="AA49" s="5">
        <v>1.33333333333333</v>
      </c>
      <c r="AB49" s="5">
        <v>1</v>
      </c>
      <c r="AC49" s="4" t="s">
        <v>0</v>
      </c>
    </row>
    <row r="50" ht="13" spans="1:29">
      <c r="A50" s="8">
        <v>2</v>
      </c>
      <c r="B50" s="8">
        <v>3</v>
      </c>
      <c r="C50" s="8">
        <v>3</v>
      </c>
      <c r="D50" s="8" t="s">
        <v>187</v>
      </c>
      <c r="E50" s="8">
        <v>2</v>
      </c>
      <c r="G50">
        <v>64</v>
      </c>
      <c r="H50" t="s">
        <v>219</v>
      </c>
      <c r="I50" t="s">
        <v>220</v>
      </c>
      <c r="J50" t="s">
        <v>29</v>
      </c>
      <c r="K50" t="s">
        <v>30</v>
      </c>
      <c r="L50" t="s">
        <v>221</v>
      </c>
      <c r="M50" s="8">
        <v>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9">
        <v>0</v>
      </c>
      <c r="U50" s="10">
        <v>0</v>
      </c>
      <c r="V50" s="10">
        <v>0</v>
      </c>
      <c r="W50" s="11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4"/>
    </row>
    <row r="51" spans="1:28">
      <c r="A51" s="8">
        <v>2</v>
      </c>
      <c r="B51" s="8">
        <v>2</v>
      </c>
      <c r="C51" s="8">
        <v>4</v>
      </c>
      <c r="D51" s="8" t="s">
        <v>75</v>
      </c>
      <c r="E51" s="8">
        <v>1</v>
      </c>
      <c r="G51">
        <v>66</v>
      </c>
      <c r="H51" t="s">
        <v>225</v>
      </c>
      <c r="I51" t="s">
        <v>226</v>
      </c>
      <c r="J51" t="s">
        <v>29</v>
      </c>
      <c r="K51" t="s">
        <v>30</v>
      </c>
      <c r="L51" t="s">
        <v>227</v>
      </c>
      <c r="M51" s="8">
        <v>2</v>
      </c>
      <c r="N51" s="9">
        <v>1</v>
      </c>
      <c r="O51" s="9">
        <v>1</v>
      </c>
      <c r="P51" s="10">
        <v>1</v>
      </c>
      <c r="Q51" s="10">
        <v>1</v>
      </c>
      <c r="R51" s="10">
        <v>1</v>
      </c>
      <c r="S51" s="9">
        <v>1</v>
      </c>
      <c r="T51" s="9">
        <v>1</v>
      </c>
      <c r="U51" s="10">
        <v>1</v>
      </c>
      <c r="V51" s="10">
        <v>1</v>
      </c>
      <c r="W51" s="11">
        <v>1</v>
      </c>
      <c r="X51" s="5">
        <v>1</v>
      </c>
      <c r="Y51" s="5">
        <v>1</v>
      </c>
      <c r="Z51" s="5">
        <v>1</v>
      </c>
      <c r="AA51" s="5">
        <v>1</v>
      </c>
      <c r="AB51" s="5">
        <v>0</v>
      </c>
    </row>
    <row r="52" spans="1:28">
      <c r="A52" s="8">
        <v>1</v>
      </c>
      <c r="B52" s="8">
        <v>3</v>
      </c>
      <c r="C52" s="8">
        <v>2</v>
      </c>
      <c r="D52" s="8" t="s">
        <v>246</v>
      </c>
      <c r="E52" s="8">
        <v>2</v>
      </c>
      <c r="G52">
        <v>73</v>
      </c>
      <c r="H52" t="s">
        <v>247</v>
      </c>
      <c r="I52" t="s">
        <v>248</v>
      </c>
      <c r="J52" t="s">
        <v>29</v>
      </c>
      <c r="K52" t="s">
        <v>30</v>
      </c>
      <c r="L52" t="s">
        <v>249</v>
      </c>
      <c r="M52" s="8">
        <v>2</v>
      </c>
      <c r="N52" s="9">
        <v>2</v>
      </c>
      <c r="O52" s="9">
        <v>2</v>
      </c>
      <c r="P52" s="10">
        <v>2</v>
      </c>
      <c r="Q52" s="10">
        <v>0</v>
      </c>
      <c r="R52" s="10">
        <v>1</v>
      </c>
      <c r="S52" s="9">
        <v>1</v>
      </c>
      <c r="T52" s="9">
        <v>1</v>
      </c>
      <c r="U52" s="10">
        <v>2</v>
      </c>
      <c r="V52" s="10">
        <v>2</v>
      </c>
      <c r="W52" s="11">
        <v>2</v>
      </c>
      <c r="X52" s="5">
        <v>2</v>
      </c>
      <c r="Y52" s="5">
        <v>1</v>
      </c>
      <c r="Z52" s="5">
        <v>1</v>
      </c>
      <c r="AA52" s="5">
        <v>2</v>
      </c>
      <c r="AB52" s="5">
        <v>2</v>
      </c>
    </row>
    <row r="53" spans="1:28">
      <c r="A53" s="8">
        <v>1</v>
      </c>
      <c r="B53" s="8">
        <v>1</v>
      </c>
      <c r="C53" s="8">
        <v>1</v>
      </c>
      <c r="D53" s="8" t="s">
        <v>261</v>
      </c>
      <c r="E53" s="8">
        <v>1</v>
      </c>
      <c r="G53">
        <v>78</v>
      </c>
      <c r="H53" t="s">
        <v>262</v>
      </c>
      <c r="I53" t="s">
        <v>263</v>
      </c>
      <c r="J53" t="s">
        <v>29</v>
      </c>
      <c r="K53" t="s">
        <v>30</v>
      </c>
      <c r="L53" t="s">
        <v>260</v>
      </c>
      <c r="M53" s="8">
        <v>2</v>
      </c>
      <c r="N53" s="9">
        <v>3</v>
      </c>
      <c r="O53" s="9">
        <v>3</v>
      </c>
      <c r="P53" s="10">
        <v>3</v>
      </c>
      <c r="Q53" s="10">
        <v>3</v>
      </c>
      <c r="R53" s="10">
        <v>3</v>
      </c>
      <c r="S53" s="9">
        <v>3</v>
      </c>
      <c r="T53" s="9">
        <v>3</v>
      </c>
      <c r="U53" s="10">
        <v>3</v>
      </c>
      <c r="V53" s="10">
        <v>3</v>
      </c>
      <c r="W53" s="11">
        <v>3</v>
      </c>
      <c r="X53" s="5">
        <v>3</v>
      </c>
      <c r="Y53" s="5">
        <v>3</v>
      </c>
      <c r="Z53" s="5">
        <v>3</v>
      </c>
      <c r="AA53" s="5">
        <v>3</v>
      </c>
      <c r="AB53" s="5">
        <v>0</v>
      </c>
    </row>
    <row r="54" spans="1:28">
      <c r="A54" s="8">
        <v>1</v>
      </c>
      <c r="B54" s="8">
        <v>2</v>
      </c>
      <c r="C54" s="8">
        <v>4</v>
      </c>
      <c r="D54" s="8" t="s">
        <v>234</v>
      </c>
      <c r="E54" s="8">
        <v>1</v>
      </c>
      <c r="G54">
        <v>79</v>
      </c>
      <c r="H54" t="s">
        <v>264</v>
      </c>
      <c r="I54" t="s">
        <v>212</v>
      </c>
      <c r="J54" t="s">
        <v>29</v>
      </c>
      <c r="K54" t="s">
        <v>30</v>
      </c>
      <c r="L54" t="s">
        <v>265</v>
      </c>
      <c r="M54" s="8">
        <v>2</v>
      </c>
      <c r="N54" s="9">
        <v>1</v>
      </c>
      <c r="O54" s="9">
        <v>1</v>
      </c>
      <c r="P54" s="10">
        <v>0</v>
      </c>
      <c r="Q54" s="10">
        <v>1</v>
      </c>
      <c r="R54" s="10">
        <v>0</v>
      </c>
      <c r="S54" s="9">
        <v>2</v>
      </c>
      <c r="T54" s="9">
        <v>2</v>
      </c>
      <c r="U54" s="10">
        <v>2</v>
      </c>
      <c r="V54" s="10">
        <v>2</v>
      </c>
      <c r="W54" s="11">
        <v>2</v>
      </c>
      <c r="X54" s="5">
        <v>1</v>
      </c>
      <c r="Y54" s="5">
        <v>0.333333333333333</v>
      </c>
      <c r="Z54" s="5">
        <v>2</v>
      </c>
      <c r="AA54" s="5">
        <v>2</v>
      </c>
      <c r="AB54" s="5">
        <v>2</v>
      </c>
    </row>
    <row r="55" spans="1:28">
      <c r="A55" s="8">
        <v>1</v>
      </c>
      <c r="B55" s="8">
        <v>2</v>
      </c>
      <c r="C55" s="8">
        <v>3</v>
      </c>
      <c r="D55" s="8" t="s">
        <v>187</v>
      </c>
      <c r="E55" s="8">
        <v>2</v>
      </c>
      <c r="G55">
        <v>81</v>
      </c>
      <c r="H55" t="s">
        <v>269</v>
      </c>
      <c r="I55" t="s">
        <v>169</v>
      </c>
      <c r="J55" t="s">
        <v>29</v>
      </c>
      <c r="K55" t="s">
        <v>30</v>
      </c>
      <c r="L55" t="s">
        <v>270</v>
      </c>
      <c r="M55" s="8">
        <v>2</v>
      </c>
      <c r="N55" s="9">
        <v>3</v>
      </c>
      <c r="O55" s="9">
        <v>3</v>
      </c>
      <c r="P55" s="10">
        <v>3</v>
      </c>
      <c r="Q55" s="10">
        <v>3</v>
      </c>
      <c r="R55" s="10">
        <v>2</v>
      </c>
      <c r="S55" s="9">
        <v>3</v>
      </c>
      <c r="T55" s="9">
        <v>3</v>
      </c>
      <c r="U55" s="10">
        <v>3</v>
      </c>
      <c r="V55" s="10">
        <v>2</v>
      </c>
      <c r="W55" s="11">
        <v>3</v>
      </c>
      <c r="X55" s="5">
        <v>3</v>
      </c>
      <c r="Y55" s="5">
        <v>2.66666666666667</v>
      </c>
      <c r="Z55" s="5">
        <v>3</v>
      </c>
      <c r="AA55" s="5">
        <v>2.66666666666667</v>
      </c>
      <c r="AB55" s="5">
        <v>2</v>
      </c>
    </row>
    <row r="56" spans="1:28">
      <c r="A56" s="8">
        <v>2</v>
      </c>
      <c r="B56" s="8">
        <v>3</v>
      </c>
      <c r="C56" s="8">
        <v>4</v>
      </c>
      <c r="D56" s="8" t="s">
        <v>271</v>
      </c>
      <c r="E56" s="8">
        <v>1</v>
      </c>
      <c r="G56">
        <v>82</v>
      </c>
      <c r="H56" t="s">
        <v>272</v>
      </c>
      <c r="I56" t="s">
        <v>273</v>
      </c>
      <c r="J56" t="s">
        <v>29</v>
      </c>
      <c r="K56" t="s">
        <v>30</v>
      </c>
      <c r="L56" t="s">
        <v>274</v>
      </c>
      <c r="M56" s="8">
        <v>2</v>
      </c>
      <c r="N56" s="9">
        <v>3</v>
      </c>
      <c r="O56" s="9">
        <v>3</v>
      </c>
      <c r="P56" s="10">
        <v>3</v>
      </c>
      <c r="Q56" s="10">
        <v>3</v>
      </c>
      <c r="R56" s="10">
        <v>3</v>
      </c>
      <c r="S56" s="9">
        <v>3</v>
      </c>
      <c r="T56" s="9">
        <v>3</v>
      </c>
      <c r="U56" s="10">
        <v>3</v>
      </c>
      <c r="V56" s="10">
        <v>3</v>
      </c>
      <c r="W56" s="11">
        <v>3</v>
      </c>
      <c r="X56" s="5">
        <v>3</v>
      </c>
      <c r="Y56" s="5">
        <v>3</v>
      </c>
      <c r="Z56" s="5">
        <v>3</v>
      </c>
      <c r="AA56" s="5">
        <v>3</v>
      </c>
      <c r="AB56" s="5">
        <v>0</v>
      </c>
    </row>
    <row r="57" spans="1:28">
      <c r="A57" s="8">
        <v>2</v>
      </c>
      <c r="B57" s="8">
        <v>2</v>
      </c>
      <c r="C57" s="8">
        <v>4</v>
      </c>
      <c r="D57" s="8" t="s">
        <v>26</v>
      </c>
      <c r="E57" s="8">
        <v>2</v>
      </c>
      <c r="G57">
        <v>86</v>
      </c>
      <c r="H57" t="s">
        <v>284</v>
      </c>
      <c r="I57" t="s">
        <v>285</v>
      </c>
      <c r="J57" t="s">
        <v>29</v>
      </c>
      <c r="K57" t="s">
        <v>30</v>
      </c>
      <c r="L57" t="s">
        <v>286</v>
      </c>
      <c r="M57" s="8">
        <v>2</v>
      </c>
      <c r="N57" s="9">
        <v>1</v>
      </c>
      <c r="O57" s="9">
        <v>0</v>
      </c>
      <c r="P57" s="10">
        <v>1</v>
      </c>
      <c r="Q57" s="10">
        <v>0</v>
      </c>
      <c r="R57" s="10">
        <v>1</v>
      </c>
      <c r="S57" s="9">
        <v>1</v>
      </c>
      <c r="T57" s="9">
        <v>1</v>
      </c>
      <c r="U57" s="10">
        <v>1</v>
      </c>
      <c r="V57" s="10">
        <v>1</v>
      </c>
      <c r="W57" s="11">
        <v>1</v>
      </c>
      <c r="X57" s="5">
        <v>0.5</v>
      </c>
      <c r="Y57" s="5">
        <v>0.666666666666667</v>
      </c>
      <c r="Z57" s="5">
        <v>1</v>
      </c>
      <c r="AA57" s="5">
        <v>1</v>
      </c>
      <c r="AB57" s="5">
        <v>2</v>
      </c>
    </row>
    <row r="58" ht="13" spans="1:29">
      <c r="A58" s="8">
        <v>2</v>
      </c>
      <c r="B58" s="8">
        <v>2</v>
      </c>
      <c r="C58" s="8">
        <v>3</v>
      </c>
      <c r="D58" s="8" t="s">
        <v>287</v>
      </c>
      <c r="E58" s="8">
        <v>2</v>
      </c>
      <c r="G58">
        <v>87</v>
      </c>
      <c r="H58" t="s">
        <v>288</v>
      </c>
      <c r="I58" t="s">
        <v>289</v>
      </c>
      <c r="J58" t="s">
        <v>29</v>
      </c>
      <c r="K58" t="s">
        <v>30</v>
      </c>
      <c r="L58" t="s">
        <v>290</v>
      </c>
      <c r="M58" s="8">
        <v>2</v>
      </c>
      <c r="N58" s="9">
        <v>2</v>
      </c>
      <c r="O58" s="9">
        <v>1</v>
      </c>
      <c r="P58" s="10">
        <v>3</v>
      </c>
      <c r="Q58" s="10">
        <v>2</v>
      </c>
      <c r="R58" s="10">
        <v>2</v>
      </c>
      <c r="S58" s="9">
        <v>3</v>
      </c>
      <c r="T58" s="9">
        <v>1</v>
      </c>
      <c r="U58" s="10">
        <v>2</v>
      </c>
      <c r="V58" s="10">
        <v>2</v>
      </c>
      <c r="W58" s="11">
        <v>2</v>
      </c>
      <c r="X58" s="5">
        <v>1.5</v>
      </c>
      <c r="Y58" s="5">
        <v>2.33333333333333</v>
      </c>
      <c r="Z58" s="5">
        <v>2</v>
      </c>
      <c r="AA58" s="5">
        <v>2</v>
      </c>
      <c r="AB58" s="5">
        <v>1</v>
      </c>
      <c r="AC58" s="4" t="s">
        <v>1</v>
      </c>
    </row>
    <row r="59" spans="1:28">
      <c r="A59" s="8">
        <v>2</v>
      </c>
      <c r="B59" s="8">
        <v>3</v>
      </c>
      <c r="C59" s="8">
        <v>3</v>
      </c>
      <c r="D59" s="8" t="s">
        <v>114</v>
      </c>
      <c r="E59" s="8">
        <v>2</v>
      </c>
      <c r="G59">
        <v>92</v>
      </c>
      <c r="H59" t="s">
        <v>304</v>
      </c>
      <c r="I59" t="s">
        <v>305</v>
      </c>
      <c r="J59" t="s">
        <v>29</v>
      </c>
      <c r="K59" t="s">
        <v>30</v>
      </c>
      <c r="L59" t="s">
        <v>306</v>
      </c>
      <c r="M59" s="8">
        <v>2</v>
      </c>
      <c r="N59" s="9">
        <v>3</v>
      </c>
      <c r="O59" s="9">
        <v>2</v>
      </c>
      <c r="P59" s="10">
        <v>3</v>
      </c>
      <c r="Q59" s="10">
        <v>3</v>
      </c>
      <c r="R59" s="10">
        <v>3</v>
      </c>
      <c r="S59" s="9">
        <v>3</v>
      </c>
      <c r="T59" s="9">
        <v>3</v>
      </c>
      <c r="U59" s="10">
        <v>3</v>
      </c>
      <c r="V59" s="10">
        <v>3</v>
      </c>
      <c r="W59" s="11">
        <v>3</v>
      </c>
      <c r="X59" s="5">
        <v>2.5</v>
      </c>
      <c r="Y59" s="5">
        <v>3</v>
      </c>
      <c r="Z59" s="5">
        <v>3</v>
      </c>
      <c r="AA59" s="5">
        <v>3</v>
      </c>
      <c r="AB59" s="5">
        <v>3</v>
      </c>
    </row>
    <row r="60" ht="13" spans="1:29">
      <c r="A60" s="8">
        <v>2</v>
      </c>
      <c r="B60" s="8">
        <v>3</v>
      </c>
      <c r="C60" s="8">
        <v>3</v>
      </c>
      <c r="D60" s="8" t="s">
        <v>312</v>
      </c>
      <c r="E60" s="8">
        <v>1</v>
      </c>
      <c r="G60">
        <v>95</v>
      </c>
      <c r="H60" t="s">
        <v>313</v>
      </c>
      <c r="I60" t="s">
        <v>314</v>
      </c>
      <c r="J60" t="s">
        <v>29</v>
      </c>
      <c r="K60" t="s">
        <v>30</v>
      </c>
      <c r="L60" t="s">
        <v>315</v>
      </c>
      <c r="M60" s="8">
        <v>3</v>
      </c>
      <c r="N60" s="9">
        <v>2</v>
      </c>
      <c r="O60" s="9">
        <v>1</v>
      </c>
      <c r="P60" s="10">
        <v>1</v>
      </c>
      <c r="Q60" s="10">
        <v>-1</v>
      </c>
      <c r="R60" s="10">
        <v>-1</v>
      </c>
      <c r="S60" s="9">
        <v>2</v>
      </c>
      <c r="T60" s="9">
        <v>2</v>
      </c>
      <c r="U60" s="10">
        <v>3</v>
      </c>
      <c r="V60" s="10">
        <v>3</v>
      </c>
      <c r="W60" s="11">
        <v>-1</v>
      </c>
      <c r="X60" s="5">
        <v>1.5</v>
      </c>
      <c r="Y60" s="5">
        <v>-0.333333333333333</v>
      </c>
      <c r="Z60" s="5">
        <v>2</v>
      </c>
      <c r="AA60" s="5">
        <v>1.66666666666667</v>
      </c>
      <c r="AB60" s="5">
        <v>1</v>
      </c>
      <c r="AC60" s="4" t="s">
        <v>3</v>
      </c>
    </row>
    <row r="61" ht="13" spans="1:29">
      <c r="A61" s="8">
        <v>2</v>
      </c>
      <c r="B61" s="8">
        <v>2</v>
      </c>
      <c r="C61" s="8">
        <v>3</v>
      </c>
      <c r="D61" s="8" t="s">
        <v>103</v>
      </c>
      <c r="E61" s="8">
        <v>2</v>
      </c>
      <c r="G61">
        <v>101</v>
      </c>
      <c r="H61" t="s">
        <v>330</v>
      </c>
      <c r="I61" t="s">
        <v>331</v>
      </c>
      <c r="J61" t="s">
        <v>29</v>
      </c>
      <c r="K61" t="s">
        <v>30</v>
      </c>
      <c r="L61" t="s">
        <v>332</v>
      </c>
      <c r="M61" s="8">
        <v>3</v>
      </c>
      <c r="N61" s="9">
        <v>1</v>
      </c>
      <c r="O61" s="9">
        <v>2</v>
      </c>
      <c r="P61" s="10">
        <v>1</v>
      </c>
      <c r="Q61" s="10">
        <v>0</v>
      </c>
      <c r="R61" s="10">
        <v>2</v>
      </c>
      <c r="S61" s="9">
        <v>1</v>
      </c>
      <c r="T61" s="9">
        <v>1</v>
      </c>
      <c r="U61" s="10">
        <v>2</v>
      </c>
      <c r="V61" s="10">
        <v>2</v>
      </c>
      <c r="W61" s="11">
        <v>1</v>
      </c>
      <c r="X61" s="5">
        <v>1.5</v>
      </c>
      <c r="Y61" s="5">
        <v>1</v>
      </c>
      <c r="Z61" s="5">
        <v>1</v>
      </c>
      <c r="AA61" s="5">
        <v>1.66666666666667</v>
      </c>
      <c r="AB61" s="5">
        <v>1</v>
      </c>
      <c r="AC61" s="4" t="s">
        <v>3</v>
      </c>
    </row>
    <row r="62" ht="13" spans="1:29">
      <c r="A62" s="8">
        <v>2</v>
      </c>
      <c r="B62" s="8">
        <v>2</v>
      </c>
      <c r="C62" s="8">
        <v>3</v>
      </c>
      <c r="D62" s="8" t="s">
        <v>26</v>
      </c>
      <c r="E62" s="8">
        <v>2</v>
      </c>
      <c r="G62">
        <v>102</v>
      </c>
      <c r="H62" t="s">
        <v>333</v>
      </c>
      <c r="I62" t="s">
        <v>334</v>
      </c>
      <c r="J62" t="s">
        <v>29</v>
      </c>
      <c r="K62" t="s">
        <v>30</v>
      </c>
      <c r="L62" t="s">
        <v>335</v>
      </c>
      <c r="M62" s="8">
        <v>3</v>
      </c>
      <c r="N62" s="9">
        <v>2</v>
      </c>
      <c r="O62" s="9">
        <v>1</v>
      </c>
      <c r="P62" s="10">
        <v>3</v>
      </c>
      <c r="Q62" s="10">
        <v>1</v>
      </c>
      <c r="R62" s="10">
        <v>2</v>
      </c>
      <c r="S62" s="9">
        <v>2</v>
      </c>
      <c r="T62" s="9">
        <v>1</v>
      </c>
      <c r="U62" s="10">
        <v>2</v>
      </c>
      <c r="V62" s="10">
        <v>1</v>
      </c>
      <c r="W62" s="11">
        <v>2</v>
      </c>
      <c r="X62" s="5">
        <v>1.5</v>
      </c>
      <c r="Y62" s="5">
        <v>2</v>
      </c>
      <c r="Z62" s="5">
        <v>1.5</v>
      </c>
      <c r="AA62" s="5">
        <v>1.66666666666667</v>
      </c>
      <c r="AB62" s="5">
        <v>1</v>
      </c>
      <c r="AC62" s="4" t="s">
        <v>1</v>
      </c>
    </row>
    <row r="63" ht="13" spans="1:29">
      <c r="A63" s="8">
        <v>2</v>
      </c>
      <c r="B63" s="8">
        <v>2</v>
      </c>
      <c r="C63" s="8">
        <v>3</v>
      </c>
      <c r="D63" s="8" t="s">
        <v>26</v>
      </c>
      <c r="E63" s="8">
        <v>2</v>
      </c>
      <c r="G63">
        <v>103</v>
      </c>
      <c r="H63" t="s">
        <v>336</v>
      </c>
      <c r="I63" t="s">
        <v>337</v>
      </c>
      <c r="J63" t="s">
        <v>29</v>
      </c>
      <c r="K63" t="s">
        <v>30</v>
      </c>
      <c r="L63" t="s">
        <v>338</v>
      </c>
      <c r="M63" s="8">
        <v>3</v>
      </c>
      <c r="N63" s="9">
        <v>2</v>
      </c>
      <c r="O63" s="9">
        <v>1</v>
      </c>
      <c r="P63" s="10">
        <v>1</v>
      </c>
      <c r="Q63" s="10">
        <v>2</v>
      </c>
      <c r="R63" s="10">
        <v>2</v>
      </c>
      <c r="S63" s="9">
        <v>1</v>
      </c>
      <c r="T63" s="9">
        <v>2</v>
      </c>
      <c r="U63" s="10">
        <v>1</v>
      </c>
      <c r="V63" s="10">
        <v>2</v>
      </c>
      <c r="W63" s="11">
        <v>1</v>
      </c>
      <c r="X63" s="5">
        <v>1.5</v>
      </c>
      <c r="Y63" s="5">
        <v>1.66666666666667</v>
      </c>
      <c r="Z63" s="5">
        <v>1.5</v>
      </c>
      <c r="AA63" s="5">
        <v>1.33333333333333</v>
      </c>
      <c r="AB63" s="5">
        <v>1</v>
      </c>
      <c r="AC63" s="4" t="s">
        <v>1</v>
      </c>
    </row>
    <row r="64" ht="13" spans="1:29">
      <c r="A64" s="8">
        <v>2</v>
      </c>
      <c r="B64" s="8">
        <v>2</v>
      </c>
      <c r="C64" s="8">
        <v>3</v>
      </c>
      <c r="D64" s="8" t="s">
        <v>26</v>
      </c>
      <c r="E64" s="8">
        <v>2</v>
      </c>
      <c r="G64">
        <v>105</v>
      </c>
      <c r="H64" t="s">
        <v>341</v>
      </c>
      <c r="I64" t="s">
        <v>342</v>
      </c>
      <c r="J64" t="s">
        <v>343</v>
      </c>
      <c r="K64" t="s">
        <v>344</v>
      </c>
      <c r="L64" t="s">
        <v>345</v>
      </c>
      <c r="M64" s="8">
        <v>3</v>
      </c>
      <c r="N64" s="9">
        <v>2</v>
      </c>
      <c r="O64" s="9">
        <v>2</v>
      </c>
      <c r="P64" s="10">
        <v>2</v>
      </c>
      <c r="Q64" s="10">
        <v>0</v>
      </c>
      <c r="R64" s="10">
        <v>0</v>
      </c>
      <c r="S64" s="9">
        <v>1</v>
      </c>
      <c r="T64" s="9">
        <v>0</v>
      </c>
      <c r="U64" s="10">
        <v>1</v>
      </c>
      <c r="V64" s="10">
        <v>0</v>
      </c>
      <c r="W64" s="11">
        <v>1</v>
      </c>
      <c r="X64" s="5">
        <v>2</v>
      </c>
      <c r="Y64" s="5">
        <v>0.666666666666667</v>
      </c>
      <c r="Z64" s="5">
        <v>0.5</v>
      </c>
      <c r="AA64" s="5">
        <v>0.666666666666667</v>
      </c>
      <c r="AB64" s="5">
        <v>1</v>
      </c>
      <c r="AC64" s="4" t="s">
        <v>0</v>
      </c>
    </row>
    <row r="65" ht="13" spans="1:29">
      <c r="A65" s="8">
        <v>2</v>
      </c>
      <c r="B65" s="8">
        <v>2</v>
      </c>
      <c r="C65" s="8">
        <v>3</v>
      </c>
      <c r="D65" s="8" t="s">
        <v>26</v>
      </c>
      <c r="E65" s="8">
        <v>2</v>
      </c>
      <c r="G65">
        <v>107</v>
      </c>
      <c r="H65" t="s">
        <v>349</v>
      </c>
      <c r="I65" t="s">
        <v>158</v>
      </c>
      <c r="J65" t="s">
        <v>343</v>
      </c>
      <c r="K65" t="s">
        <v>344</v>
      </c>
      <c r="L65" t="s">
        <v>350</v>
      </c>
      <c r="M65" s="8">
        <v>3</v>
      </c>
      <c r="N65" s="9">
        <v>3</v>
      </c>
      <c r="O65" s="9">
        <v>3</v>
      </c>
      <c r="P65" s="10">
        <v>3</v>
      </c>
      <c r="Q65" s="10">
        <v>1</v>
      </c>
      <c r="R65" s="10">
        <v>1</v>
      </c>
      <c r="S65" s="9">
        <v>1</v>
      </c>
      <c r="T65" s="9">
        <v>3</v>
      </c>
      <c r="U65" s="10">
        <v>2</v>
      </c>
      <c r="V65" s="10">
        <v>2</v>
      </c>
      <c r="W65" s="11">
        <v>1</v>
      </c>
      <c r="X65" s="5">
        <v>3</v>
      </c>
      <c r="Y65" s="5">
        <v>1.66666666666667</v>
      </c>
      <c r="Z65" s="5">
        <v>2</v>
      </c>
      <c r="AA65" s="5">
        <v>1.66666666666667</v>
      </c>
      <c r="AB65" s="5">
        <v>1</v>
      </c>
      <c r="AC65" s="4" t="s">
        <v>0</v>
      </c>
    </row>
    <row r="66" ht="13" spans="1:29">
      <c r="A66" s="8">
        <v>2</v>
      </c>
      <c r="B66" s="8">
        <v>2</v>
      </c>
      <c r="C66" s="8">
        <v>3</v>
      </c>
      <c r="D66" s="8" t="s">
        <v>26</v>
      </c>
      <c r="E66" s="8">
        <v>1</v>
      </c>
      <c r="G66">
        <v>108</v>
      </c>
      <c r="H66" t="s">
        <v>351</v>
      </c>
      <c r="I66" t="s">
        <v>352</v>
      </c>
      <c r="J66" t="s">
        <v>343</v>
      </c>
      <c r="K66" t="s">
        <v>344</v>
      </c>
      <c r="L66" t="s">
        <v>353</v>
      </c>
      <c r="M66" s="8">
        <v>3</v>
      </c>
      <c r="N66" s="9">
        <v>1</v>
      </c>
      <c r="O66" s="9">
        <v>1</v>
      </c>
      <c r="P66" s="10">
        <v>0</v>
      </c>
      <c r="Q66" s="10">
        <v>0</v>
      </c>
      <c r="R66" s="10">
        <v>1</v>
      </c>
      <c r="S66" s="9">
        <v>0</v>
      </c>
      <c r="T66" s="9">
        <v>0</v>
      </c>
      <c r="U66" s="10">
        <v>1</v>
      </c>
      <c r="V66" s="10">
        <v>-1</v>
      </c>
      <c r="W66" s="11">
        <v>0</v>
      </c>
      <c r="X66" s="5">
        <v>1</v>
      </c>
      <c r="Y66" s="5">
        <v>0.333333333333333</v>
      </c>
      <c r="Z66" s="5">
        <v>0</v>
      </c>
      <c r="AA66" s="5">
        <v>0</v>
      </c>
      <c r="AB66" s="5">
        <v>1</v>
      </c>
      <c r="AC66" s="4" t="s">
        <v>0</v>
      </c>
    </row>
    <row r="67" ht="13" spans="1:29">
      <c r="A67" s="8">
        <v>2</v>
      </c>
      <c r="B67" s="8">
        <v>2</v>
      </c>
      <c r="C67" s="8">
        <v>2</v>
      </c>
      <c r="D67" s="8" t="s">
        <v>32</v>
      </c>
      <c r="E67" s="8">
        <v>1</v>
      </c>
      <c r="G67">
        <v>3</v>
      </c>
      <c r="H67" t="s">
        <v>33</v>
      </c>
      <c r="I67" t="s">
        <v>34</v>
      </c>
      <c r="J67" t="s">
        <v>29</v>
      </c>
      <c r="K67" t="s">
        <v>30</v>
      </c>
      <c r="L67" t="s">
        <v>35</v>
      </c>
      <c r="M67" s="8">
        <v>3</v>
      </c>
      <c r="N67" s="9">
        <v>2</v>
      </c>
      <c r="O67" s="9">
        <v>1</v>
      </c>
      <c r="P67" s="10">
        <v>0</v>
      </c>
      <c r="Q67" s="10">
        <v>0</v>
      </c>
      <c r="R67" s="10">
        <v>1</v>
      </c>
      <c r="S67" s="9">
        <v>0</v>
      </c>
      <c r="T67" s="9">
        <v>0</v>
      </c>
      <c r="U67" s="10">
        <v>1</v>
      </c>
      <c r="V67" s="10">
        <v>1</v>
      </c>
      <c r="W67" s="11">
        <v>1</v>
      </c>
      <c r="X67" s="5">
        <v>1.5</v>
      </c>
      <c r="Y67" s="5">
        <v>0.333333333333333</v>
      </c>
      <c r="Z67" s="5">
        <v>0</v>
      </c>
      <c r="AA67" s="5">
        <v>1</v>
      </c>
      <c r="AB67" s="5">
        <v>1</v>
      </c>
      <c r="AC67" s="4" t="s">
        <v>0</v>
      </c>
    </row>
    <row r="68" ht="13" spans="1:29">
      <c r="A68" s="8">
        <v>2</v>
      </c>
      <c r="B68" s="8">
        <v>2</v>
      </c>
      <c r="C68" s="8">
        <v>3</v>
      </c>
      <c r="D68" s="8" t="s">
        <v>26</v>
      </c>
      <c r="E68" s="8">
        <v>1</v>
      </c>
      <c r="G68">
        <v>4</v>
      </c>
      <c r="H68" t="s">
        <v>36</v>
      </c>
      <c r="I68" t="s">
        <v>37</v>
      </c>
      <c r="J68" t="s">
        <v>29</v>
      </c>
      <c r="K68" t="s">
        <v>30</v>
      </c>
      <c r="L68" t="s">
        <v>38</v>
      </c>
      <c r="M68" s="8">
        <v>3</v>
      </c>
      <c r="N68" s="9">
        <v>3</v>
      </c>
      <c r="O68" s="9">
        <v>2</v>
      </c>
      <c r="P68" s="10">
        <v>2</v>
      </c>
      <c r="Q68" s="10">
        <v>2</v>
      </c>
      <c r="R68" s="10">
        <v>2</v>
      </c>
      <c r="S68" s="9">
        <v>2</v>
      </c>
      <c r="T68" s="9">
        <v>2</v>
      </c>
      <c r="U68" s="10">
        <v>2</v>
      </c>
      <c r="V68" s="10">
        <v>2</v>
      </c>
      <c r="W68" s="11">
        <v>2</v>
      </c>
      <c r="X68" s="5">
        <v>2.5</v>
      </c>
      <c r="Y68" s="5">
        <v>2</v>
      </c>
      <c r="Z68" s="5">
        <v>2</v>
      </c>
      <c r="AA68" s="5">
        <v>2</v>
      </c>
      <c r="AB68" s="5">
        <v>1</v>
      </c>
      <c r="AC68" s="4" t="s">
        <v>0</v>
      </c>
    </row>
    <row r="69" ht="13" spans="1:29">
      <c r="A69" s="8">
        <v>2</v>
      </c>
      <c r="B69" s="8">
        <v>2</v>
      </c>
      <c r="C69" s="8">
        <v>3</v>
      </c>
      <c r="D69" s="8" t="s">
        <v>75</v>
      </c>
      <c r="E69" s="8">
        <v>2</v>
      </c>
      <c r="G69">
        <v>47</v>
      </c>
      <c r="H69" t="s">
        <v>173</v>
      </c>
      <c r="I69" t="s">
        <v>174</v>
      </c>
      <c r="J69" t="s">
        <v>29</v>
      </c>
      <c r="K69" t="s">
        <v>30</v>
      </c>
      <c r="L69" t="s">
        <v>175</v>
      </c>
      <c r="M69" s="8">
        <v>3</v>
      </c>
      <c r="N69" s="9">
        <v>2</v>
      </c>
      <c r="O69" s="9">
        <v>3</v>
      </c>
      <c r="P69" s="10">
        <v>1</v>
      </c>
      <c r="Q69" s="10">
        <v>1</v>
      </c>
      <c r="R69" s="10">
        <v>1</v>
      </c>
      <c r="S69" s="9">
        <v>1</v>
      </c>
      <c r="T69" s="9">
        <v>0</v>
      </c>
      <c r="U69" s="10">
        <v>2</v>
      </c>
      <c r="V69" s="10">
        <v>2</v>
      </c>
      <c r="W69" s="11">
        <v>2</v>
      </c>
      <c r="X69" s="5">
        <v>2.5</v>
      </c>
      <c r="Y69" s="5">
        <v>1</v>
      </c>
      <c r="Z69" s="5">
        <v>0.5</v>
      </c>
      <c r="AA69" s="5">
        <v>2</v>
      </c>
      <c r="AB69" s="5">
        <v>1</v>
      </c>
      <c r="AC69" s="4" t="s">
        <v>0</v>
      </c>
    </row>
    <row r="70" ht="13" spans="1:29">
      <c r="A70" s="8">
        <v>2</v>
      </c>
      <c r="B70" s="8">
        <v>3</v>
      </c>
      <c r="C70" s="8">
        <v>4</v>
      </c>
      <c r="D70" s="8" t="s">
        <v>26</v>
      </c>
      <c r="E70" s="8">
        <v>1</v>
      </c>
      <c r="G70">
        <v>84</v>
      </c>
      <c r="H70" t="s">
        <v>278</v>
      </c>
      <c r="I70" t="s">
        <v>279</v>
      </c>
      <c r="J70" t="s">
        <v>29</v>
      </c>
      <c r="K70" t="s">
        <v>30</v>
      </c>
      <c r="L70" t="s">
        <v>280</v>
      </c>
      <c r="M70" s="8">
        <v>3</v>
      </c>
      <c r="N70" s="9">
        <v>2</v>
      </c>
      <c r="O70" s="9">
        <v>2</v>
      </c>
      <c r="P70" s="10">
        <v>1</v>
      </c>
      <c r="Q70" s="10">
        <v>1</v>
      </c>
      <c r="R70" s="10">
        <v>1</v>
      </c>
      <c r="S70" s="9">
        <v>1</v>
      </c>
      <c r="T70" s="9">
        <v>2</v>
      </c>
      <c r="U70" s="10">
        <v>2</v>
      </c>
      <c r="V70" s="10">
        <v>1</v>
      </c>
      <c r="W70" s="11">
        <v>1</v>
      </c>
      <c r="X70" s="5">
        <v>2</v>
      </c>
      <c r="Y70" s="5">
        <v>1</v>
      </c>
      <c r="Z70" s="5">
        <v>1.5</v>
      </c>
      <c r="AA70" s="5">
        <v>1.33333333333333</v>
      </c>
      <c r="AB70" s="5">
        <v>1</v>
      </c>
      <c r="AC70" s="4" t="s">
        <v>0</v>
      </c>
    </row>
    <row r="71" ht="13" spans="1:29">
      <c r="A71" s="8">
        <v>1</v>
      </c>
      <c r="B71" s="8">
        <v>3</v>
      </c>
      <c r="C71" s="8">
        <v>3</v>
      </c>
      <c r="D71" s="8" t="s">
        <v>294</v>
      </c>
      <c r="E71" s="8">
        <v>1</v>
      </c>
      <c r="G71">
        <v>89</v>
      </c>
      <c r="H71" t="s">
        <v>295</v>
      </c>
      <c r="I71" t="s">
        <v>296</v>
      </c>
      <c r="J71" t="s">
        <v>29</v>
      </c>
      <c r="K71" t="s">
        <v>30</v>
      </c>
      <c r="L71" t="s">
        <v>297</v>
      </c>
      <c r="M71" s="8">
        <v>3</v>
      </c>
      <c r="N71" s="9">
        <v>2</v>
      </c>
      <c r="O71" s="9">
        <v>1</v>
      </c>
      <c r="P71" s="10">
        <v>2</v>
      </c>
      <c r="Q71" s="10">
        <v>3</v>
      </c>
      <c r="R71" s="10">
        <v>1</v>
      </c>
      <c r="S71" s="9">
        <v>2</v>
      </c>
      <c r="T71" s="9">
        <v>3</v>
      </c>
      <c r="U71" s="10">
        <v>3</v>
      </c>
      <c r="V71" s="10">
        <v>1</v>
      </c>
      <c r="W71" s="11">
        <v>1</v>
      </c>
      <c r="X71" s="5">
        <v>1.5</v>
      </c>
      <c r="Y71" s="5">
        <v>2</v>
      </c>
      <c r="Z71" s="5">
        <v>2.5</v>
      </c>
      <c r="AA71" s="5">
        <v>1.66666666666667</v>
      </c>
      <c r="AB71" s="5">
        <v>1</v>
      </c>
      <c r="AC71" s="4" t="s">
        <v>2</v>
      </c>
    </row>
    <row r="72" ht="13" spans="1:30">
      <c r="A72" s="8">
        <v>2</v>
      </c>
      <c r="B72" s="8">
        <v>2</v>
      </c>
      <c r="C72" s="8">
        <v>3</v>
      </c>
      <c r="D72" s="8" t="s">
        <v>26</v>
      </c>
      <c r="E72" s="8">
        <v>2</v>
      </c>
      <c r="G72">
        <v>2</v>
      </c>
      <c r="H72" t="s">
        <v>27</v>
      </c>
      <c r="I72" t="s">
        <v>28</v>
      </c>
      <c r="J72" t="s">
        <v>29</v>
      </c>
      <c r="K72" t="s">
        <v>30</v>
      </c>
      <c r="L72" t="s">
        <v>31</v>
      </c>
      <c r="M72" s="8">
        <v>3</v>
      </c>
      <c r="N72" s="9">
        <v>0</v>
      </c>
      <c r="O72" s="9">
        <v>1</v>
      </c>
      <c r="P72" s="10">
        <v>1</v>
      </c>
      <c r="Q72" s="10">
        <v>1</v>
      </c>
      <c r="R72" s="10">
        <v>0</v>
      </c>
      <c r="S72" s="9">
        <v>0</v>
      </c>
      <c r="T72" s="9">
        <v>0</v>
      </c>
      <c r="U72" s="10">
        <v>1</v>
      </c>
      <c r="V72" s="10">
        <v>1</v>
      </c>
      <c r="W72" s="11">
        <v>0</v>
      </c>
      <c r="X72" s="5">
        <v>0.5</v>
      </c>
      <c r="Y72" s="5">
        <v>0.666666666666667</v>
      </c>
      <c r="Z72" s="5">
        <v>0</v>
      </c>
      <c r="AA72" s="5">
        <v>0.666666666666667</v>
      </c>
      <c r="AB72" s="5">
        <v>2</v>
      </c>
      <c r="AC72" s="4" t="s">
        <v>1</v>
      </c>
      <c r="AD72" s="4" t="s">
        <v>3</v>
      </c>
    </row>
    <row r="73" spans="1:28">
      <c r="A73" s="8">
        <v>2</v>
      </c>
      <c r="B73" s="8">
        <v>2</v>
      </c>
      <c r="C73" s="8">
        <v>3</v>
      </c>
      <c r="D73" s="8" t="s">
        <v>39</v>
      </c>
      <c r="E73" s="8">
        <v>2</v>
      </c>
      <c r="G73">
        <v>5</v>
      </c>
      <c r="H73" t="s">
        <v>40</v>
      </c>
      <c r="I73" t="s">
        <v>41</v>
      </c>
      <c r="J73" t="s">
        <v>29</v>
      </c>
      <c r="K73" t="s">
        <v>30</v>
      </c>
      <c r="L73" t="s">
        <v>42</v>
      </c>
      <c r="M73" s="8">
        <v>3</v>
      </c>
      <c r="N73" s="9">
        <v>3</v>
      </c>
      <c r="O73" s="9">
        <v>2</v>
      </c>
      <c r="P73" s="10">
        <v>3</v>
      </c>
      <c r="Q73" s="10">
        <v>1</v>
      </c>
      <c r="R73" s="10">
        <v>3</v>
      </c>
      <c r="S73" s="9">
        <v>3</v>
      </c>
      <c r="T73" s="9">
        <v>2</v>
      </c>
      <c r="U73" s="10">
        <v>3</v>
      </c>
      <c r="V73" s="10">
        <v>2</v>
      </c>
      <c r="W73" s="11">
        <v>2</v>
      </c>
      <c r="X73" s="5">
        <v>2.5</v>
      </c>
      <c r="Y73" s="5">
        <v>2.33333333333333</v>
      </c>
      <c r="Z73" s="5">
        <v>2.5</v>
      </c>
      <c r="AA73" s="5">
        <v>2.33333333333333</v>
      </c>
      <c r="AB73" s="5">
        <v>2</v>
      </c>
    </row>
    <row r="74" spans="1:28">
      <c r="A74" s="8">
        <v>2</v>
      </c>
      <c r="B74" s="8">
        <v>2</v>
      </c>
      <c r="C74" s="8">
        <v>3</v>
      </c>
      <c r="D74" s="8" t="s">
        <v>26</v>
      </c>
      <c r="E74" s="8">
        <v>2</v>
      </c>
      <c r="G74">
        <v>8</v>
      </c>
      <c r="H74" t="s">
        <v>49</v>
      </c>
      <c r="I74" t="s">
        <v>50</v>
      </c>
      <c r="J74" t="s">
        <v>29</v>
      </c>
      <c r="K74" t="s">
        <v>30</v>
      </c>
      <c r="L74" t="s">
        <v>51</v>
      </c>
      <c r="M74" s="8">
        <v>3</v>
      </c>
      <c r="N74" s="9">
        <v>1</v>
      </c>
      <c r="O74" s="9">
        <v>1</v>
      </c>
      <c r="P74" s="10">
        <v>1</v>
      </c>
      <c r="Q74" s="10">
        <v>1</v>
      </c>
      <c r="R74" s="10">
        <v>1</v>
      </c>
      <c r="S74" s="9">
        <v>1</v>
      </c>
      <c r="T74" s="9">
        <v>1</v>
      </c>
      <c r="U74" s="10">
        <v>0</v>
      </c>
      <c r="V74" s="10">
        <v>2</v>
      </c>
      <c r="W74" s="11">
        <v>1</v>
      </c>
      <c r="X74" s="5">
        <v>1</v>
      </c>
      <c r="Y74" s="5">
        <v>1</v>
      </c>
      <c r="Z74" s="5">
        <v>1</v>
      </c>
      <c r="AA74" s="5">
        <v>1</v>
      </c>
      <c r="AB74" s="5">
        <v>0</v>
      </c>
    </row>
    <row r="75" ht="13" spans="1:29">
      <c r="A75" s="8">
        <v>2</v>
      </c>
      <c r="B75" s="8">
        <v>2</v>
      </c>
      <c r="C75" s="8">
        <v>3</v>
      </c>
      <c r="D75" s="8" t="s">
        <v>26</v>
      </c>
      <c r="E75" s="8">
        <v>2</v>
      </c>
      <c r="G75">
        <v>12</v>
      </c>
      <c r="H75" t="s">
        <v>61</v>
      </c>
      <c r="I75" t="s">
        <v>62</v>
      </c>
      <c r="J75" t="s">
        <v>29</v>
      </c>
      <c r="K75" t="s">
        <v>30</v>
      </c>
      <c r="L75" t="s">
        <v>63</v>
      </c>
      <c r="M75" s="8">
        <v>3</v>
      </c>
      <c r="N75" s="9">
        <v>1</v>
      </c>
      <c r="O75" s="9">
        <v>1</v>
      </c>
      <c r="P75" s="10">
        <v>2</v>
      </c>
      <c r="Q75" s="10">
        <v>0</v>
      </c>
      <c r="R75" s="10">
        <v>2</v>
      </c>
      <c r="S75" s="9">
        <v>2</v>
      </c>
      <c r="T75" s="9">
        <v>1</v>
      </c>
      <c r="U75" s="10">
        <v>2</v>
      </c>
      <c r="V75" s="10">
        <v>1</v>
      </c>
      <c r="W75" s="11">
        <v>1</v>
      </c>
      <c r="X75" s="5">
        <v>1</v>
      </c>
      <c r="Y75" s="5">
        <v>1.33333333333333</v>
      </c>
      <c r="Z75" s="5">
        <v>1.5</v>
      </c>
      <c r="AA75" s="5">
        <v>1.33333333333333</v>
      </c>
      <c r="AB75" s="5">
        <v>1</v>
      </c>
      <c r="AC75" s="4" t="s">
        <v>2</v>
      </c>
    </row>
    <row r="76" spans="1:28">
      <c r="A76" s="8">
        <v>2</v>
      </c>
      <c r="B76" s="8">
        <v>2</v>
      </c>
      <c r="C76" s="8">
        <v>3</v>
      </c>
      <c r="D76" s="8" t="s">
        <v>26</v>
      </c>
      <c r="E76" s="8">
        <v>1</v>
      </c>
      <c r="G76">
        <v>14</v>
      </c>
      <c r="H76" t="s">
        <v>68</v>
      </c>
      <c r="I76" t="s">
        <v>69</v>
      </c>
      <c r="J76" t="s">
        <v>29</v>
      </c>
      <c r="K76" t="s">
        <v>30</v>
      </c>
      <c r="L76" t="s">
        <v>70</v>
      </c>
      <c r="M76" s="8">
        <v>3</v>
      </c>
      <c r="N76" s="9">
        <v>3</v>
      </c>
      <c r="O76" s="9">
        <v>3</v>
      </c>
      <c r="P76" s="10">
        <v>0</v>
      </c>
      <c r="Q76" s="10">
        <v>0</v>
      </c>
      <c r="R76" s="10">
        <v>0</v>
      </c>
      <c r="S76" s="9">
        <v>3</v>
      </c>
      <c r="T76" s="9">
        <v>0</v>
      </c>
      <c r="U76" s="10">
        <v>3</v>
      </c>
      <c r="V76" s="10">
        <v>3</v>
      </c>
      <c r="W76" s="11">
        <v>3</v>
      </c>
      <c r="X76" s="5">
        <v>3</v>
      </c>
      <c r="Y76" s="5">
        <v>0</v>
      </c>
      <c r="Z76" s="5">
        <v>1.5</v>
      </c>
      <c r="AA76" s="5">
        <v>3</v>
      </c>
      <c r="AB76" s="5">
        <v>2</v>
      </c>
    </row>
    <row r="77" spans="1:28">
      <c r="A77" s="8">
        <v>2</v>
      </c>
      <c r="B77" s="8">
        <v>2</v>
      </c>
      <c r="C77" s="8">
        <v>3</v>
      </c>
      <c r="D77" s="8" t="s">
        <v>75</v>
      </c>
      <c r="E77" s="8">
        <v>2</v>
      </c>
      <c r="G77">
        <v>19</v>
      </c>
      <c r="H77" t="s">
        <v>86</v>
      </c>
      <c r="I77" t="s">
        <v>87</v>
      </c>
      <c r="J77" t="s">
        <v>29</v>
      </c>
      <c r="K77" t="s">
        <v>30</v>
      </c>
      <c r="L77" t="s">
        <v>88</v>
      </c>
      <c r="M77" s="8">
        <v>3</v>
      </c>
      <c r="N77" s="9">
        <v>3</v>
      </c>
      <c r="O77" s="9">
        <v>3</v>
      </c>
      <c r="P77" s="10">
        <v>3</v>
      </c>
      <c r="Q77" s="10">
        <v>3</v>
      </c>
      <c r="R77" s="10">
        <v>3</v>
      </c>
      <c r="S77" s="9">
        <v>3</v>
      </c>
      <c r="T77" s="9">
        <v>3</v>
      </c>
      <c r="U77" s="10">
        <v>3</v>
      </c>
      <c r="V77" s="10">
        <v>3</v>
      </c>
      <c r="W77" s="11">
        <v>3</v>
      </c>
      <c r="X77" s="5">
        <v>3</v>
      </c>
      <c r="Y77" s="5">
        <v>3</v>
      </c>
      <c r="Z77" s="5">
        <v>3</v>
      </c>
      <c r="AA77" s="5">
        <v>3</v>
      </c>
      <c r="AB77" s="5">
        <v>0</v>
      </c>
    </row>
    <row r="78" ht="13" spans="1:29">
      <c r="A78" s="8">
        <v>2</v>
      </c>
      <c r="B78" s="8">
        <v>2</v>
      </c>
      <c r="C78" s="8">
        <v>3</v>
      </c>
      <c r="D78" s="8" t="s">
        <v>75</v>
      </c>
      <c r="E78" s="8">
        <v>1</v>
      </c>
      <c r="G78">
        <v>27</v>
      </c>
      <c r="H78" t="s">
        <v>111</v>
      </c>
      <c r="I78" t="s">
        <v>112</v>
      </c>
      <c r="J78" t="s">
        <v>29</v>
      </c>
      <c r="K78" t="s">
        <v>30</v>
      </c>
      <c r="L78" t="s">
        <v>113</v>
      </c>
      <c r="M78" s="8">
        <v>4</v>
      </c>
      <c r="N78" s="9">
        <v>1</v>
      </c>
      <c r="O78" s="9">
        <v>1</v>
      </c>
      <c r="P78" s="10">
        <v>0</v>
      </c>
      <c r="Q78" s="10">
        <v>0</v>
      </c>
      <c r="R78" s="10">
        <v>0</v>
      </c>
      <c r="S78" s="9">
        <v>0</v>
      </c>
      <c r="T78" s="9">
        <v>2</v>
      </c>
      <c r="U78" s="10">
        <v>2</v>
      </c>
      <c r="V78" s="10">
        <v>1</v>
      </c>
      <c r="W78" s="11">
        <v>1</v>
      </c>
      <c r="X78" s="5">
        <v>1</v>
      </c>
      <c r="Y78" s="5">
        <v>0</v>
      </c>
      <c r="Z78" s="5">
        <v>1</v>
      </c>
      <c r="AA78" s="5">
        <v>1.33333333333333</v>
      </c>
      <c r="AB78" s="5">
        <v>1</v>
      </c>
      <c r="AC78" s="4" t="s">
        <v>3</v>
      </c>
    </row>
    <row r="79" ht="13" spans="1:29">
      <c r="A79" s="8">
        <v>2</v>
      </c>
      <c r="B79" s="8">
        <v>3</v>
      </c>
      <c r="C79" s="8">
        <v>3</v>
      </c>
      <c r="D79" s="8" t="s">
        <v>114</v>
      </c>
      <c r="E79" s="8">
        <v>2</v>
      </c>
      <c r="G79">
        <v>28</v>
      </c>
      <c r="H79" t="s">
        <v>115</v>
      </c>
      <c r="I79" t="s">
        <v>116</v>
      </c>
      <c r="J79" t="s">
        <v>29</v>
      </c>
      <c r="K79" t="s">
        <v>30</v>
      </c>
      <c r="L79" t="s">
        <v>117</v>
      </c>
      <c r="M79" s="8">
        <v>4</v>
      </c>
      <c r="N79" s="9">
        <v>1</v>
      </c>
      <c r="O79" s="9">
        <v>0</v>
      </c>
      <c r="P79" s="10">
        <v>1</v>
      </c>
      <c r="Q79" s="10">
        <v>1</v>
      </c>
      <c r="R79" s="10">
        <v>1</v>
      </c>
      <c r="S79" s="9">
        <v>1</v>
      </c>
      <c r="T79" s="9">
        <v>0</v>
      </c>
      <c r="U79" s="10">
        <v>2</v>
      </c>
      <c r="V79" s="10">
        <v>0</v>
      </c>
      <c r="W79" s="11">
        <v>2</v>
      </c>
      <c r="X79" s="5">
        <v>0.5</v>
      </c>
      <c r="Y79" s="5">
        <v>1</v>
      </c>
      <c r="Z79" s="5">
        <v>0.5</v>
      </c>
      <c r="AA79" s="5">
        <v>1.33333333333333</v>
      </c>
      <c r="AB79" s="5">
        <v>1</v>
      </c>
      <c r="AC79" s="4" t="s">
        <v>3</v>
      </c>
    </row>
    <row r="80" ht="13" spans="1:29">
      <c r="A80" s="8">
        <v>2</v>
      </c>
      <c r="B80" s="8">
        <v>2</v>
      </c>
      <c r="C80" s="8">
        <v>3</v>
      </c>
      <c r="D80" s="8" t="s">
        <v>75</v>
      </c>
      <c r="E80" s="8">
        <v>2</v>
      </c>
      <c r="G80">
        <v>30</v>
      </c>
      <c r="H80" t="s">
        <v>121</v>
      </c>
      <c r="I80" t="s">
        <v>122</v>
      </c>
      <c r="J80" t="s">
        <v>29</v>
      </c>
      <c r="K80" t="s">
        <v>30</v>
      </c>
      <c r="L80" t="s">
        <v>123</v>
      </c>
      <c r="M80" s="8">
        <v>4</v>
      </c>
      <c r="N80" s="9">
        <v>3</v>
      </c>
      <c r="O80" s="9">
        <v>0</v>
      </c>
      <c r="P80" s="10">
        <v>3</v>
      </c>
      <c r="Q80" s="10">
        <v>0</v>
      </c>
      <c r="R80" s="10">
        <v>0</v>
      </c>
      <c r="S80" s="9">
        <v>2</v>
      </c>
      <c r="T80" s="9">
        <v>0</v>
      </c>
      <c r="U80" s="10">
        <v>2</v>
      </c>
      <c r="V80" s="10">
        <v>2</v>
      </c>
      <c r="W80" s="11">
        <v>2</v>
      </c>
      <c r="X80" s="5">
        <v>1.5</v>
      </c>
      <c r="Y80" s="5">
        <v>1</v>
      </c>
      <c r="Z80" s="5">
        <v>1</v>
      </c>
      <c r="AA80" s="5">
        <v>2</v>
      </c>
      <c r="AB80" s="5">
        <v>1</v>
      </c>
      <c r="AC80" s="4" t="s">
        <v>3</v>
      </c>
    </row>
    <row r="81" ht="13" spans="1:29">
      <c r="A81" s="8">
        <v>2</v>
      </c>
      <c r="B81" s="8">
        <v>2</v>
      </c>
      <c r="C81" s="8">
        <v>3</v>
      </c>
      <c r="D81" s="8" t="s">
        <v>127</v>
      </c>
      <c r="E81" s="8">
        <v>2</v>
      </c>
      <c r="G81">
        <v>32</v>
      </c>
      <c r="H81" t="s">
        <v>128</v>
      </c>
      <c r="I81" t="s">
        <v>129</v>
      </c>
      <c r="J81" t="s">
        <v>29</v>
      </c>
      <c r="K81" t="s">
        <v>30</v>
      </c>
      <c r="L81" t="s">
        <v>130</v>
      </c>
      <c r="M81" s="8">
        <v>4</v>
      </c>
      <c r="N81" s="9">
        <v>1</v>
      </c>
      <c r="O81" s="9">
        <v>1</v>
      </c>
      <c r="P81" s="10">
        <v>2</v>
      </c>
      <c r="Q81" s="10">
        <v>2</v>
      </c>
      <c r="R81" s="10">
        <v>0</v>
      </c>
      <c r="S81" s="9">
        <v>1</v>
      </c>
      <c r="T81" s="9">
        <v>0</v>
      </c>
      <c r="U81" s="10">
        <v>1</v>
      </c>
      <c r="V81" s="10">
        <v>1</v>
      </c>
      <c r="W81" s="11">
        <v>1</v>
      </c>
      <c r="X81" s="5">
        <v>1</v>
      </c>
      <c r="Y81" s="5">
        <v>1.33333333333333</v>
      </c>
      <c r="Z81" s="5">
        <v>0.5</v>
      </c>
      <c r="AA81" s="5">
        <v>1</v>
      </c>
      <c r="AB81" s="5">
        <v>1</v>
      </c>
      <c r="AC81" s="4" t="s">
        <v>1</v>
      </c>
    </row>
    <row r="82" ht="13" spans="1:29">
      <c r="A82" s="8">
        <v>2</v>
      </c>
      <c r="B82" s="8">
        <v>2</v>
      </c>
      <c r="C82" s="8">
        <v>3</v>
      </c>
      <c r="D82" s="8" t="s">
        <v>75</v>
      </c>
      <c r="E82" s="8">
        <v>2</v>
      </c>
      <c r="G82">
        <v>33</v>
      </c>
      <c r="H82" t="s">
        <v>131</v>
      </c>
      <c r="I82" t="s">
        <v>132</v>
      </c>
      <c r="J82" t="s">
        <v>29</v>
      </c>
      <c r="K82" t="s">
        <v>30</v>
      </c>
      <c r="L82" t="s">
        <v>133</v>
      </c>
      <c r="M82" s="8">
        <v>4</v>
      </c>
      <c r="N82" s="9">
        <v>2</v>
      </c>
      <c r="O82" s="9">
        <v>1</v>
      </c>
      <c r="P82" s="10">
        <v>2</v>
      </c>
      <c r="Q82" s="10">
        <v>1</v>
      </c>
      <c r="R82" s="10">
        <v>2</v>
      </c>
      <c r="S82" s="9">
        <v>2</v>
      </c>
      <c r="T82" s="9">
        <v>1</v>
      </c>
      <c r="U82" s="10">
        <v>1</v>
      </c>
      <c r="V82" s="10">
        <v>1</v>
      </c>
      <c r="W82" s="11">
        <v>2</v>
      </c>
      <c r="X82" s="5">
        <v>1.5</v>
      </c>
      <c r="Y82" s="5">
        <v>1.66666666666667</v>
      </c>
      <c r="Z82" s="5">
        <v>1.5</v>
      </c>
      <c r="AA82" s="5">
        <v>1.33333333333333</v>
      </c>
      <c r="AB82" s="5">
        <v>1</v>
      </c>
      <c r="AC82" s="4" t="s">
        <v>1</v>
      </c>
    </row>
    <row r="83" ht="13" spans="1:29">
      <c r="A83" s="8">
        <v>2</v>
      </c>
      <c r="B83" s="8">
        <v>2</v>
      </c>
      <c r="C83" s="8">
        <v>3</v>
      </c>
      <c r="D83" s="8" t="s">
        <v>26</v>
      </c>
      <c r="E83" s="8">
        <v>2</v>
      </c>
      <c r="G83">
        <v>37</v>
      </c>
      <c r="H83" t="s">
        <v>144</v>
      </c>
      <c r="I83" t="s">
        <v>145</v>
      </c>
      <c r="J83" t="s">
        <v>29</v>
      </c>
      <c r="K83" t="s">
        <v>30</v>
      </c>
      <c r="L83" t="s">
        <v>146</v>
      </c>
      <c r="M83" s="8">
        <v>4</v>
      </c>
      <c r="N83" s="9">
        <v>3</v>
      </c>
      <c r="O83" s="9">
        <v>2</v>
      </c>
      <c r="P83" s="10">
        <v>3</v>
      </c>
      <c r="Q83" s="10">
        <v>3</v>
      </c>
      <c r="R83" s="10">
        <v>2</v>
      </c>
      <c r="S83" s="9">
        <v>1</v>
      </c>
      <c r="T83" s="9">
        <v>1</v>
      </c>
      <c r="U83" s="10">
        <v>1</v>
      </c>
      <c r="V83" s="10">
        <v>3</v>
      </c>
      <c r="W83" s="11">
        <v>2</v>
      </c>
      <c r="X83" s="5">
        <v>2.5</v>
      </c>
      <c r="Y83" s="5">
        <v>2.66666666666667</v>
      </c>
      <c r="Z83" s="5">
        <v>1</v>
      </c>
      <c r="AA83" s="5">
        <v>2</v>
      </c>
      <c r="AB83" s="5">
        <v>1</v>
      </c>
      <c r="AC83" s="4" t="s">
        <v>1</v>
      </c>
    </row>
    <row r="84" ht="13" spans="1:29">
      <c r="A84" s="8">
        <v>2</v>
      </c>
      <c r="B84" s="8">
        <v>2</v>
      </c>
      <c r="C84" s="8">
        <v>3</v>
      </c>
      <c r="D84" s="8" t="s">
        <v>26</v>
      </c>
      <c r="E84" s="8">
        <v>1</v>
      </c>
      <c r="G84">
        <v>41</v>
      </c>
      <c r="H84" t="s">
        <v>157</v>
      </c>
      <c r="I84" t="s">
        <v>158</v>
      </c>
      <c r="J84" t="s">
        <v>29</v>
      </c>
      <c r="K84" t="s">
        <v>30</v>
      </c>
      <c r="L84" t="s">
        <v>159</v>
      </c>
      <c r="M84" s="8">
        <v>4</v>
      </c>
      <c r="N84" s="9">
        <v>0</v>
      </c>
      <c r="O84" s="9">
        <v>0</v>
      </c>
      <c r="P84" s="10">
        <v>0</v>
      </c>
      <c r="Q84" s="10">
        <v>2</v>
      </c>
      <c r="R84" s="10">
        <v>0</v>
      </c>
      <c r="S84" s="9">
        <v>0</v>
      </c>
      <c r="T84" s="9">
        <v>0</v>
      </c>
      <c r="U84" s="10">
        <v>1</v>
      </c>
      <c r="V84" s="10">
        <v>0</v>
      </c>
      <c r="W84" s="11">
        <v>0</v>
      </c>
      <c r="X84" s="5">
        <v>0</v>
      </c>
      <c r="Y84" s="5">
        <v>0.666666666666667</v>
      </c>
      <c r="Z84" s="5">
        <v>0</v>
      </c>
      <c r="AA84" s="5">
        <v>0.333333333333333</v>
      </c>
      <c r="AB84" s="5">
        <v>1</v>
      </c>
      <c r="AC84" s="4" t="s">
        <v>1</v>
      </c>
    </row>
    <row r="85" ht="13" spans="1:29">
      <c r="A85" s="8">
        <v>2</v>
      </c>
      <c r="B85" s="8">
        <v>2</v>
      </c>
      <c r="C85" s="8">
        <v>3</v>
      </c>
      <c r="D85" s="8" t="s">
        <v>75</v>
      </c>
      <c r="E85" s="8">
        <v>2</v>
      </c>
      <c r="G85">
        <v>44</v>
      </c>
      <c r="H85" t="s">
        <v>165</v>
      </c>
      <c r="I85" t="s">
        <v>166</v>
      </c>
      <c r="J85" t="s">
        <v>29</v>
      </c>
      <c r="K85" t="s">
        <v>30</v>
      </c>
      <c r="L85" t="s">
        <v>167</v>
      </c>
      <c r="M85" s="8">
        <v>4</v>
      </c>
      <c r="N85" s="9">
        <v>1</v>
      </c>
      <c r="O85" s="9">
        <v>1</v>
      </c>
      <c r="P85" s="10">
        <v>1</v>
      </c>
      <c r="Q85" s="10">
        <v>1</v>
      </c>
      <c r="R85" s="10">
        <v>0</v>
      </c>
      <c r="S85" s="9">
        <v>1</v>
      </c>
      <c r="T85" s="9">
        <v>0</v>
      </c>
      <c r="U85" s="10">
        <v>1</v>
      </c>
      <c r="V85" s="10">
        <v>0</v>
      </c>
      <c r="W85" s="11">
        <v>1</v>
      </c>
      <c r="X85" s="5">
        <v>1</v>
      </c>
      <c r="Y85" s="5">
        <v>0.666666666666667</v>
      </c>
      <c r="Z85" s="5">
        <v>0.5</v>
      </c>
      <c r="AA85" s="5">
        <v>0.666666666666667</v>
      </c>
      <c r="AB85" s="5">
        <v>1</v>
      </c>
      <c r="AC85" s="4" t="s">
        <v>0</v>
      </c>
    </row>
    <row r="86" ht="13" spans="1:29">
      <c r="A86" s="8">
        <v>2</v>
      </c>
      <c r="B86" s="8">
        <v>2</v>
      </c>
      <c r="C86" s="8">
        <v>3</v>
      </c>
      <c r="D86" s="8" t="s">
        <v>26</v>
      </c>
      <c r="E86" s="8">
        <v>1</v>
      </c>
      <c r="G86">
        <v>46</v>
      </c>
      <c r="H86" t="s">
        <v>171</v>
      </c>
      <c r="I86" t="s">
        <v>84</v>
      </c>
      <c r="J86" t="s">
        <v>29</v>
      </c>
      <c r="K86" t="s">
        <v>30</v>
      </c>
      <c r="L86" t="s">
        <v>172</v>
      </c>
      <c r="M86" s="8">
        <v>4</v>
      </c>
      <c r="N86" s="9">
        <v>2</v>
      </c>
      <c r="O86" s="9">
        <v>1</v>
      </c>
      <c r="P86" s="10">
        <v>1</v>
      </c>
      <c r="Q86" s="10">
        <v>1</v>
      </c>
      <c r="R86" s="10">
        <v>0</v>
      </c>
      <c r="S86" s="9">
        <v>2</v>
      </c>
      <c r="T86" s="9">
        <v>0</v>
      </c>
      <c r="U86" s="10">
        <v>1</v>
      </c>
      <c r="V86" s="10">
        <v>1</v>
      </c>
      <c r="W86" s="11">
        <v>2</v>
      </c>
      <c r="X86" s="5">
        <v>1.5</v>
      </c>
      <c r="Y86" s="5">
        <v>0.666666666666667</v>
      </c>
      <c r="Z86" s="5">
        <v>1</v>
      </c>
      <c r="AA86" s="5">
        <v>1.33333333333333</v>
      </c>
      <c r="AB86" s="5">
        <v>1</v>
      </c>
      <c r="AC86" s="4" t="s">
        <v>0</v>
      </c>
    </row>
    <row r="87" ht="13" spans="1:29">
      <c r="A87" s="8">
        <v>2</v>
      </c>
      <c r="B87" s="8">
        <v>3</v>
      </c>
      <c r="C87" s="8">
        <v>4</v>
      </c>
      <c r="D87" s="8" t="s">
        <v>79</v>
      </c>
      <c r="E87" s="8">
        <v>1</v>
      </c>
      <c r="G87">
        <v>50</v>
      </c>
      <c r="H87" t="s">
        <v>182</v>
      </c>
      <c r="I87" t="s">
        <v>116</v>
      </c>
      <c r="J87" t="s">
        <v>29</v>
      </c>
      <c r="K87" t="s">
        <v>30</v>
      </c>
      <c r="L87" t="s">
        <v>183</v>
      </c>
      <c r="M87" s="8">
        <v>4</v>
      </c>
      <c r="N87" s="9">
        <v>2</v>
      </c>
      <c r="O87" s="9">
        <v>2</v>
      </c>
      <c r="P87" s="10">
        <v>2</v>
      </c>
      <c r="Q87" s="10">
        <v>2</v>
      </c>
      <c r="R87" s="10">
        <v>0</v>
      </c>
      <c r="S87" s="9">
        <v>2</v>
      </c>
      <c r="T87" s="9">
        <v>0</v>
      </c>
      <c r="U87" s="10">
        <v>0</v>
      </c>
      <c r="V87" s="10">
        <v>0</v>
      </c>
      <c r="W87" s="11">
        <v>0</v>
      </c>
      <c r="X87" s="5">
        <v>2</v>
      </c>
      <c r="Y87" s="5">
        <v>1.33333333333333</v>
      </c>
      <c r="Z87" s="5">
        <v>1</v>
      </c>
      <c r="AA87" s="5">
        <v>0</v>
      </c>
      <c r="AB87" s="5">
        <v>1</v>
      </c>
      <c r="AC87" s="4" t="s">
        <v>0</v>
      </c>
    </row>
    <row r="88" ht="13" spans="1:29">
      <c r="A88" s="8">
        <v>1</v>
      </c>
      <c r="B88" s="8">
        <v>3</v>
      </c>
      <c r="C88" s="8">
        <v>2</v>
      </c>
      <c r="D88" s="8" t="s">
        <v>191</v>
      </c>
      <c r="E88" s="8">
        <v>1</v>
      </c>
      <c r="G88">
        <v>53</v>
      </c>
      <c r="H88" t="s">
        <v>192</v>
      </c>
      <c r="I88" t="s">
        <v>193</v>
      </c>
      <c r="J88" t="s">
        <v>29</v>
      </c>
      <c r="K88" t="s">
        <v>30</v>
      </c>
      <c r="L88" t="s">
        <v>194</v>
      </c>
      <c r="M88" s="8">
        <v>4</v>
      </c>
      <c r="N88" s="9">
        <v>3</v>
      </c>
      <c r="O88" s="9">
        <v>2</v>
      </c>
      <c r="P88" s="10">
        <v>2</v>
      </c>
      <c r="Q88" s="10">
        <v>0</v>
      </c>
      <c r="R88" s="10">
        <v>2</v>
      </c>
      <c r="S88" s="9">
        <v>1</v>
      </c>
      <c r="T88" s="9">
        <v>2</v>
      </c>
      <c r="U88" s="10">
        <v>3</v>
      </c>
      <c r="V88" s="10">
        <v>1</v>
      </c>
      <c r="W88" s="11">
        <v>1</v>
      </c>
      <c r="X88" s="5">
        <v>2.5</v>
      </c>
      <c r="Y88" s="5">
        <v>1.33333333333333</v>
      </c>
      <c r="Z88" s="5">
        <v>1.5</v>
      </c>
      <c r="AA88" s="5">
        <v>1.66666666666667</v>
      </c>
      <c r="AB88" s="5">
        <v>1</v>
      </c>
      <c r="AC88" s="4" t="s">
        <v>0</v>
      </c>
    </row>
    <row r="89" ht="13" spans="1:29">
      <c r="A89" s="8">
        <v>1</v>
      </c>
      <c r="B89" s="8">
        <v>2</v>
      </c>
      <c r="C89" s="8">
        <v>3</v>
      </c>
      <c r="D89" s="8" t="s">
        <v>26</v>
      </c>
      <c r="E89" s="8">
        <v>2</v>
      </c>
      <c r="G89">
        <v>54</v>
      </c>
      <c r="H89" t="s">
        <v>195</v>
      </c>
      <c r="I89" t="s">
        <v>196</v>
      </c>
      <c r="J89" t="s">
        <v>29</v>
      </c>
      <c r="K89" t="s">
        <v>30</v>
      </c>
      <c r="L89" t="s">
        <v>197</v>
      </c>
      <c r="M89" s="8">
        <v>4</v>
      </c>
      <c r="N89" s="9">
        <v>1</v>
      </c>
      <c r="O89" s="9">
        <v>2</v>
      </c>
      <c r="P89" s="10">
        <v>2</v>
      </c>
      <c r="Q89" s="10">
        <v>0</v>
      </c>
      <c r="R89" s="10">
        <v>2</v>
      </c>
      <c r="S89" s="9">
        <v>0</v>
      </c>
      <c r="T89" s="9">
        <v>0</v>
      </c>
      <c r="U89" s="10">
        <v>0</v>
      </c>
      <c r="V89" s="10">
        <v>-1</v>
      </c>
      <c r="W89" s="11">
        <v>1</v>
      </c>
      <c r="X89" s="5">
        <v>1.5</v>
      </c>
      <c r="Y89" s="5">
        <v>1.33333333333333</v>
      </c>
      <c r="Z89" s="5">
        <v>0</v>
      </c>
      <c r="AA89" s="5">
        <v>0</v>
      </c>
      <c r="AB89" s="5">
        <v>1</v>
      </c>
      <c r="AC89" s="4" t="s">
        <v>0</v>
      </c>
    </row>
    <row r="90" ht="13" spans="1:29">
      <c r="A90" s="8">
        <v>1</v>
      </c>
      <c r="B90" s="8">
        <v>4</v>
      </c>
      <c r="C90" s="8">
        <v>3</v>
      </c>
      <c r="D90" s="8" t="s">
        <v>198</v>
      </c>
      <c r="E90" s="8">
        <v>1</v>
      </c>
      <c r="G90">
        <v>55</v>
      </c>
      <c r="H90" t="s">
        <v>199</v>
      </c>
      <c r="I90" t="s">
        <v>200</v>
      </c>
      <c r="J90" t="s">
        <v>29</v>
      </c>
      <c r="K90" t="s">
        <v>30</v>
      </c>
      <c r="L90" t="s">
        <v>201</v>
      </c>
      <c r="M90" s="8">
        <v>4</v>
      </c>
      <c r="N90" s="9">
        <v>1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9">
        <v>0</v>
      </c>
      <c r="U90" s="10">
        <v>0</v>
      </c>
      <c r="V90" s="10">
        <v>0</v>
      </c>
      <c r="W90" s="11">
        <v>0</v>
      </c>
      <c r="X90" s="5">
        <v>0.5</v>
      </c>
      <c r="Y90" s="5">
        <v>0</v>
      </c>
      <c r="Z90" s="5">
        <v>0</v>
      </c>
      <c r="AA90" s="5">
        <v>0</v>
      </c>
      <c r="AB90" s="5">
        <v>1</v>
      </c>
      <c r="AC90" s="4" t="s">
        <v>0</v>
      </c>
    </row>
    <row r="91" ht="13" spans="1:29">
      <c r="A91" s="8">
        <v>1</v>
      </c>
      <c r="B91" s="8">
        <v>2</v>
      </c>
      <c r="C91" s="8">
        <v>4</v>
      </c>
      <c r="D91" s="8" t="s">
        <v>75</v>
      </c>
      <c r="E91" s="8">
        <v>2</v>
      </c>
      <c r="G91">
        <v>59</v>
      </c>
      <c r="H91" t="s">
        <v>208</v>
      </c>
      <c r="I91" t="s">
        <v>209</v>
      </c>
      <c r="J91" t="s">
        <v>29</v>
      </c>
      <c r="K91" t="s">
        <v>30</v>
      </c>
      <c r="L91" t="s">
        <v>210</v>
      </c>
      <c r="M91" s="8">
        <v>4</v>
      </c>
      <c r="N91" s="9">
        <v>1</v>
      </c>
      <c r="O91" s="9">
        <v>1</v>
      </c>
      <c r="P91" s="10">
        <v>1</v>
      </c>
      <c r="Q91" s="10">
        <v>1</v>
      </c>
      <c r="R91" s="10">
        <v>0</v>
      </c>
      <c r="S91" s="9">
        <v>1</v>
      </c>
      <c r="T91" s="9">
        <v>0</v>
      </c>
      <c r="U91" s="10">
        <v>0</v>
      </c>
      <c r="V91" s="10">
        <v>0</v>
      </c>
      <c r="W91" s="11">
        <v>2</v>
      </c>
      <c r="X91" s="5">
        <v>1</v>
      </c>
      <c r="Y91" s="5">
        <v>0.666666666666667</v>
      </c>
      <c r="Z91" s="5">
        <v>0.5</v>
      </c>
      <c r="AA91" s="5">
        <v>0.666666666666667</v>
      </c>
      <c r="AB91" s="5">
        <v>1</v>
      </c>
      <c r="AC91" s="4" t="s">
        <v>0</v>
      </c>
    </row>
    <row r="92" ht="13" spans="1:29">
      <c r="A92" s="8">
        <v>1</v>
      </c>
      <c r="B92" s="8">
        <v>2</v>
      </c>
      <c r="C92" s="8">
        <v>2</v>
      </c>
      <c r="D92" s="8" t="s">
        <v>79</v>
      </c>
      <c r="E92" s="8">
        <v>1</v>
      </c>
      <c r="G92">
        <v>60</v>
      </c>
      <c r="H92" t="s">
        <v>211</v>
      </c>
      <c r="I92" t="s">
        <v>212</v>
      </c>
      <c r="J92" t="s">
        <v>29</v>
      </c>
      <c r="K92" t="s">
        <v>30</v>
      </c>
      <c r="L92" t="s">
        <v>203</v>
      </c>
      <c r="M92" s="8">
        <v>4</v>
      </c>
      <c r="N92" s="9">
        <v>2</v>
      </c>
      <c r="O92" s="9">
        <v>1</v>
      </c>
      <c r="P92" s="10">
        <v>1</v>
      </c>
      <c r="Q92" s="10">
        <v>1</v>
      </c>
      <c r="R92" s="10">
        <v>1</v>
      </c>
      <c r="S92" s="9">
        <v>1</v>
      </c>
      <c r="T92" s="9">
        <v>1</v>
      </c>
      <c r="U92" s="10">
        <v>1</v>
      </c>
      <c r="V92" s="10">
        <v>1</v>
      </c>
      <c r="W92" s="11">
        <v>1</v>
      </c>
      <c r="X92" s="5">
        <v>1.5</v>
      </c>
      <c r="Y92" s="5">
        <v>1</v>
      </c>
      <c r="Z92" s="5">
        <v>1</v>
      </c>
      <c r="AA92" s="5">
        <v>1</v>
      </c>
      <c r="AB92" s="5">
        <v>1</v>
      </c>
      <c r="AC92" s="4" t="s">
        <v>0</v>
      </c>
    </row>
    <row r="93" ht="13" spans="1:29">
      <c r="A93" s="8">
        <v>1</v>
      </c>
      <c r="B93" s="8">
        <v>2</v>
      </c>
      <c r="C93" s="8">
        <v>2</v>
      </c>
      <c r="D93" s="8" t="s">
        <v>26</v>
      </c>
      <c r="E93" s="8">
        <v>2</v>
      </c>
      <c r="G93">
        <v>63</v>
      </c>
      <c r="H93" t="s">
        <v>215</v>
      </c>
      <c r="I93" t="s">
        <v>41</v>
      </c>
      <c r="J93" t="s">
        <v>29</v>
      </c>
      <c r="K93" t="s">
        <v>30</v>
      </c>
      <c r="L93" t="s">
        <v>218</v>
      </c>
      <c r="M93" s="8">
        <v>4</v>
      </c>
      <c r="N93" s="9">
        <v>2</v>
      </c>
      <c r="O93" s="9">
        <v>1</v>
      </c>
      <c r="P93" s="10">
        <v>1</v>
      </c>
      <c r="Q93" s="10">
        <v>1</v>
      </c>
      <c r="R93" s="10">
        <v>1</v>
      </c>
      <c r="S93" s="9">
        <v>1</v>
      </c>
      <c r="T93" s="9">
        <v>1</v>
      </c>
      <c r="U93" s="10">
        <v>1</v>
      </c>
      <c r="V93" s="10">
        <v>1</v>
      </c>
      <c r="W93" s="11">
        <v>1</v>
      </c>
      <c r="X93" s="5">
        <v>1.5</v>
      </c>
      <c r="Y93" s="5">
        <v>1</v>
      </c>
      <c r="Z93" s="5">
        <v>1</v>
      </c>
      <c r="AA93" s="5">
        <v>1</v>
      </c>
      <c r="AB93" s="5">
        <v>1</v>
      </c>
      <c r="AC93" s="4" t="s">
        <v>0</v>
      </c>
    </row>
    <row r="94" ht="13" spans="1:29">
      <c r="A94" s="8">
        <v>1</v>
      </c>
      <c r="B94" s="8">
        <v>2</v>
      </c>
      <c r="C94" s="8">
        <v>3</v>
      </c>
      <c r="D94" s="8" t="s">
        <v>79</v>
      </c>
      <c r="E94" s="8">
        <v>2</v>
      </c>
      <c r="G94">
        <v>65</v>
      </c>
      <c r="H94" t="s">
        <v>222</v>
      </c>
      <c r="I94" t="s">
        <v>223</v>
      </c>
      <c r="J94" t="s">
        <v>29</v>
      </c>
      <c r="K94" t="s">
        <v>30</v>
      </c>
      <c r="L94" t="s">
        <v>224</v>
      </c>
      <c r="M94" s="8">
        <v>4</v>
      </c>
      <c r="N94" s="9">
        <v>3</v>
      </c>
      <c r="O94" s="9">
        <v>3</v>
      </c>
      <c r="P94" s="10">
        <v>1</v>
      </c>
      <c r="Q94" s="10">
        <v>0</v>
      </c>
      <c r="R94" s="10">
        <v>2</v>
      </c>
      <c r="S94" s="9">
        <v>1</v>
      </c>
      <c r="T94" s="9">
        <v>1</v>
      </c>
      <c r="U94" s="10">
        <v>2</v>
      </c>
      <c r="V94" s="10">
        <v>1</v>
      </c>
      <c r="W94" s="11">
        <v>2</v>
      </c>
      <c r="X94" s="5">
        <v>3</v>
      </c>
      <c r="Y94" s="5">
        <v>1</v>
      </c>
      <c r="Z94" s="5">
        <v>1</v>
      </c>
      <c r="AA94" s="5">
        <v>1.66666666666667</v>
      </c>
      <c r="AB94" s="5">
        <v>1</v>
      </c>
      <c r="AC94" s="4" t="s">
        <v>0</v>
      </c>
    </row>
    <row r="95" ht="13" spans="1:29">
      <c r="A95" s="8">
        <v>2</v>
      </c>
      <c r="B95" s="8">
        <v>5</v>
      </c>
      <c r="C95" s="8">
        <v>1</v>
      </c>
      <c r="D95" s="8" t="s">
        <v>79</v>
      </c>
      <c r="E95" s="8">
        <v>1</v>
      </c>
      <c r="G95">
        <v>67</v>
      </c>
      <c r="H95" t="s">
        <v>228</v>
      </c>
      <c r="I95" t="s">
        <v>229</v>
      </c>
      <c r="J95" t="s">
        <v>29</v>
      </c>
      <c r="K95" t="s">
        <v>30</v>
      </c>
      <c r="L95" t="s">
        <v>230</v>
      </c>
      <c r="M95" s="8">
        <v>4</v>
      </c>
      <c r="N95" s="9">
        <v>3</v>
      </c>
      <c r="O95" s="9">
        <v>3</v>
      </c>
      <c r="P95" s="10">
        <v>3</v>
      </c>
      <c r="Q95" s="10">
        <v>0</v>
      </c>
      <c r="R95" s="10">
        <v>0</v>
      </c>
      <c r="S95" s="9">
        <v>3</v>
      </c>
      <c r="T95" s="9">
        <v>0</v>
      </c>
      <c r="U95" s="10">
        <v>3</v>
      </c>
      <c r="V95" s="10">
        <v>2</v>
      </c>
      <c r="W95" s="11">
        <v>3</v>
      </c>
      <c r="X95" s="5">
        <v>3</v>
      </c>
      <c r="Y95" s="5">
        <v>1</v>
      </c>
      <c r="Z95" s="5">
        <v>1.5</v>
      </c>
      <c r="AA95" s="5">
        <v>2.66666666666667</v>
      </c>
      <c r="AB95" s="5">
        <v>1</v>
      </c>
      <c r="AC95" s="4" t="s">
        <v>0</v>
      </c>
    </row>
    <row r="96" ht="13" spans="1:29">
      <c r="A96" s="8">
        <v>1</v>
      </c>
      <c r="B96" s="8">
        <v>3</v>
      </c>
      <c r="C96" s="8">
        <v>3</v>
      </c>
      <c r="D96" s="8" t="s">
        <v>26</v>
      </c>
      <c r="E96" s="8">
        <v>2</v>
      </c>
      <c r="G96">
        <v>70</v>
      </c>
      <c r="H96" t="s">
        <v>237</v>
      </c>
      <c r="I96" t="s">
        <v>238</v>
      </c>
      <c r="J96" t="s">
        <v>29</v>
      </c>
      <c r="K96" t="s">
        <v>30</v>
      </c>
      <c r="L96" t="s">
        <v>239</v>
      </c>
      <c r="M96" s="8">
        <v>4</v>
      </c>
      <c r="N96" s="9">
        <v>3</v>
      </c>
      <c r="O96" s="9">
        <v>2</v>
      </c>
      <c r="P96" s="10">
        <v>3</v>
      </c>
      <c r="Q96" s="10">
        <v>0</v>
      </c>
      <c r="R96" s="10">
        <v>0</v>
      </c>
      <c r="S96" s="9">
        <v>2</v>
      </c>
      <c r="T96" s="9">
        <v>2</v>
      </c>
      <c r="U96" s="10">
        <v>2</v>
      </c>
      <c r="V96" s="10">
        <v>2</v>
      </c>
      <c r="W96" s="11">
        <v>2</v>
      </c>
      <c r="X96" s="5">
        <v>2.5</v>
      </c>
      <c r="Y96" s="5">
        <v>1</v>
      </c>
      <c r="Z96" s="5">
        <v>2</v>
      </c>
      <c r="AA96" s="5">
        <v>2</v>
      </c>
      <c r="AB96" s="5">
        <v>1</v>
      </c>
      <c r="AC96" s="4" t="s">
        <v>0</v>
      </c>
    </row>
    <row r="97" ht="13" spans="1:29">
      <c r="A97" s="8">
        <v>2</v>
      </c>
      <c r="B97" s="8">
        <v>4</v>
      </c>
      <c r="C97" s="8">
        <v>4</v>
      </c>
      <c r="D97" s="8" t="s">
        <v>191</v>
      </c>
      <c r="E97" s="8">
        <v>2</v>
      </c>
      <c r="G97">
        <v>71</v>
      </c>
      <c r="H97" t="s">
        <v>240</v>
      </c>
      <c r="I97" t="s">
        <v>241</v>
      </c>
      <c r="J97" t="s">
        <v>29</v>
      </c>
      <c r="K97" t="s">
        <v>30</v>
      </c>
      <c r="L97" t="s">
        <v>242</v>
      </c>
      <c r="M97" s="8">
        <v>4</v>
      </c>
      <c r="N97" s="9">
        <v>2</v>
      </c>
      <c r="O97" s="9">
        <v>3</v>
      </c>
      <c r="P97" s="10">
        <v>1</v>
      </c>
      <c r="Q97" s="10">
        <v>1</v>
      </c>
      <c r="R97" s="10">
        <v>1</v>
      </c>
      <c r="S97" s="9">
        <v>2</v>
      </c>
      <c r="T97" s="9">
        <v>0</v>
      </c>
      <c r="U97" s="10">
        <v>1</v>
      </c>
      <c r="V97" s="10">
        <v>1</v>
      </c>
      <c r="W97" s="11">
        <v>2</v>
      </c>
      <c r="X97" s="5">
        <v>2.5</v>
      </c>
      <c r="Y97" s="5">
        <v>1</v>
      </c>
      <c r="Z97" s="5">
        <v>1</v>
      </c>
      <c r="AA97" s="5">
        <v>1.33333333333333</v>
      </c>
      <c r="AB97" s="5">
        <v>1</v>
      </c>
      <c r="AC97" s="4" t="s">
        <v>0</v>
      </c>
    </row>
    <row r="98" ht="13" spans="1:29">
      <c r="A98" s="8">
        <v>2</v>
      </c>
      <c r="B98" s="8">
        <v>2</v>
      </c>
      <c r="C98" s="8">
        <v>2</v>
      </c>
      <c r="D98" s="8" t="s">
        <v>26</v>
      </c>
      <c r="E98" s="8">
        <v>2</v>
      </c>
      <c r="G98">
        <v>74</v>
      </c>
      <c r="H98" t="s">
        <v>250</v>
      </c>
      <c r="I98" t="s">
        <v>169</v>
      </c>
      <c r="J98" t="s">
        <v>29</v>
      </c>
      <c r="K98" t="s">
        <v>30</v>
      </c>
      <c r="L98" t="s">
        <v>251</v>
      </c>
      <c r="M98" s="8">
        <v>4</v>
      </c>
      <c r="N98" s="9">
        <v>3</v>
      </c>
      <c r="O98" s="9">
        <v>3</v>
      </c>
      <c r="P98" s="10">
        <v>3</v>
      </c>
      <c r="Q98" s="10">
        <v>1</v>
      </c>
      <c r="R98" s="10">
        <v>1</v>
      </c>
      <c r="S98" s="9">
        <v>0</v>
      </c>
      <c r="T98" s="9">
        <v>0</v>
      </c>
      <c r="U98" s="10">
        <v>1</v>
      </c>
      <c r="V98" s="10">
        <v>1</v>
      </c>
      <c r="W98" s="11">
        <v>2</v>
      </c>
      <c r="X98" s="5">
        <v>3</v>
      </c>
      <c r="Y98" s="5">
        <v>1.66666666666667</v>
      </c>
      <c r="Z98" s="5">
        <v>0</v>
      </c>
      <c r="AA98" s="5">
        <v>1.33333333333333</v>
      </c>
      <c r="AB98" s="5">
        <v>1</v>
      </c>
      <c r="AC98" s="4" t="s">
        <v>0</v>
      </c>
    </row>
    <row r="99" ht="13" spans="1:29">
      <c r="A99" s="8">
        <v>2</v>
      </c>
      <c r="B99" s="8">
        <v>5</v>
      </c>
      <c r="C99" s="8">
        <v>1</v>
      </c>
      <c r="D99" s="8" t="s">
        <v>79</v>
      </c>
      <c r="E99" s="8">
        <v>1</v>
      </c>
      <c r="G99">
        <v>76</v>
      </c>
      <c r="H99" t="s">
        <v>255</v>
      </c>
      <c r="I99" t="s">
        <v>256</v>
      </c>
      <c r="J99" t="s">
        <v>29</v>
      </c>
      <c r="K99" t="s">
        <v>30</v>
      </c>
      <c r="L99" t="s">
        <v>257</v>
      </c>
      <c r="M99" s="8">
        <v>4</v>
      </c>
      <c r="N99" s="9">
        <v>3</v>
      </c>
      <c r="O99" s="9">
        <v>3</v>
      </c>
      <c r="P99" s="10">
        <v>3</v>
      </c>
      <c r="Q99" s="10">
        <v>1</v>
      </c>
      <c r="R99" s="10">
        <v>3</v>
      </c>
      <c r="S99" s="9">
        <v>3</v>
      </c>
      <c r="T99" s="9">
        <v>2</v>
      </c>
      <c r="U99" s="10">
        <v>3</v>
      </c>
      <c r="V99" s="10">
        <v>1</v>
      </c>
      <c r="W99" s="11">
        <v>3</v>
      </c>
      <c r="X99" s="5">
        <v>3</v>
      </c>
      <c r="Y99" s="5">
        <v>2.33333333333333</v>
      </c>
      <c r="Z99" s="5">
        <v>2.5</v>
      </c>
      <c r="AA99" s="5">
        <v>2.33333333333333</v>
      </c>
      <c r="AB99" s="5">
        <v>1</v>
      </c>
      <c r="AC99" s="4" t="s">
        <v>0</v>
      </c>
    </row>
    <row r="100" ht="13" spans="1:29">
      <c r="A100" s="8">
        <v>1</v>
      </c>
      <c r="B100" s="8">
        <v>2</v>
      </c>
      <c r="C100" s="8">
        <v>1</v>
      </c>
      <c r="D100" s="8" t="s">
        <v>79</v>
      </c>
      <c r="E100" s="8">
        <v>2</v>
      </c>
      <c r="G100">
        <v>77</v>
      </c>
      <c r="H100" t="s">
        <v>258</v>
      </c>
      <c r="I100" t="s">
        <v>259</v>
      </c>
      <c r="J100" t="s">
        <v>29</v>
      </c>
      <c r="K100" t="s">
        <v>30</v>
      </c>
      <c r="L100" t="s">
        <v>260</v>
      </c>
      <c r="M100" s="8">
        <v>4</v>
      </c>
      <c r="N100" s="9">
        <v>0</v>
      </c>
      <c r="O100" s="9">
        <v>0</v>
      </c>
      <c r="P100" s="10">
        <v>1</v>
      </c>
      <c r="Q100" s="10">
        <v>2</v>
      </c>
      <c r="R100" s="10">
        <v>0</v>
      </c>
      <c r="S100" s="9">
        <v>1</v>
      </c>
      <c r="T100" s="9">
        <v>2</v>
      </c>
      <c r="U100" s="10">
        <v>1</v>
      </c>
      <c r="V100" s="10">
        <v>1</v>
      </c>
      <c r="W100" s="11">
        <v>1</v>
      </c>
      <c r="X100" s="5">
        <v>0</v>
      </c>
      <c r="Y100" s="5">
        <v>1</v>
      </c>
      <c r="Z100" s="5">
        <v>1.5</v>
      </c>
      <c r="AA100" s="5">
        <v>1</v>
      </c>
      <c r="AB100" s="5">
        <v>1</v>
      </c>
      <c r="AC100" s="4" t="s">
        <v>2</v>
      </c>
    </row>
    <row r="101" ht="13" spans="1:29">
      <c r="A101" s="8">
        <v>1</v>
      </c>
      <c r="B101" s="8">
        <v>5</v>
      </c>
      <c r="C101" s="8">
        <v>1</v>
      </c>
      <c r="D101" s="8" t="s">
        <v>79</v>
      </c>
      <c r="E101" s="8">
        <v>1</v>
      </c>
      <c r="G101">
        <v>80</v>
      </c>
      <c r="H101" t="s">
        <v>266</v>
      </c>
      <c r="I101" t="s">
        <v>267</v>
      </c>
      <c r="J101" t="s">
        <v>29</v>
      </c>
      <c r="K101" t="s">
        <v>30</v>
      </c>
      <c r="L101" t="s">
        <v>268</v>
      </c>
      <c r="M101" s="8">
        <v>4</v>
      </c>
      <c r="N101" s="9">
        <v>3</v>
      </c>
      <c r="O101" s="9">
        <v>1</v>
      </c>
      <c r="P101" s="10">
        <v>1</v>
      </c>
      <c r="Q101" s="10">
        <v>0</v>
      </c>
      <c r="R101" s="10">
        <v>2</v>
      </c>
      <c r="S101" s="9">
        <v>2</v>
      </c>
      <c r="T101" s="9">
        <v>3</v>
      </c>
      <c r="U101" s="10">
        <v>2</v>
      </c>
      <c r="V101" s="10">
        <v>1</v>
      </c>
      <c r="W101" s="11">
        <v>2</v>
      </c>
      <c r="X101" s="5">
        <v>2</v>
      </c>
      <c r="Y101" s="5">
        <v>1</v>
      </c>
      <c r="Z101" s="5">
        <v>2.5</v>
      </c>
      <c r="AA101" s="5">
        <v>1.66666666666667</v>
      </c>
      <c r="AB101" s="5">
        <v>1</v>
      </c>
      <c r="AC101" s="4" t="s">
        <v>2</v>
      </c>
    </row>
    <row r="102" spans="1:28">
      <c r="A102" s="8">
        <v>2</v>
      </c>
      <c r="B102" s="8">
        <v>3</v>
      </c>
      <c r="C102" s="8">
        <v>3</v>
      </c>
      <c r="D102" s="8" t="s">
        <v>187</v>
      </c>
      <c r="E102" s="8">
        <v>1</v>
      </c>
      <c r="G102">
        <v>83</v>
      </c>
      <c r="H102" t="s">
        <v>275</v>
      </c>
      <c r="I102" t="s">
        <v>276</v>
      </c>
      <c r="J102" t="s">
        <v>29</v>
      </c>
      <c r="K102" t="s">
        <v>30</v>
      </c>
      <c r="L102" t="s">
        <v>277</v>
      </c>
      <c r="M102" s="8">
        <v>4</v>
      </c>
      <c r="N102" s="9">
        <v>3</v>
      </c>
      <c r="O102" s="9">
        <v>3</v>
      </c>
      <c r="P102" s="10">
        <v>3</v>
      </c>
      <c r="Q102" s="10">
        <v>3</v>
      </c>
      <c r="R102" s="10">
        <v>3</v>
      </c>
      <c r="S102" s="9">
        <v>3</v>
      </c>
      <c r="T102" s="9">
        <v>3</v>
      </c>
      <c r="U102" s="10">
        <v>3</v>
      </c>
      <c r="V102" s="10">
        <v>3</v>
      </c>
      <c r="W102" s="11">
        <v>3</v>
      </c>
      <c r="X102" s="5">
        <v>3</v>
      </c>
      <c r="Y102" s="5">
        <v>3</v>
      </c>
      <c r="Z102" s="5">
        <v>3</v>
      </c>
      <c r="AA102" s="5">
        <v>3</v>
      </c>
      <c r="AB102" s="5">
        <v>0</v>
      </c>
    </row>
    <row r="103" spans="1:28">
      <c r="A103" s="8">
        <v>2</v>
      </c>
      <c r="B103" s="8">
        <v>3</v>
      </c>
      <c r="C103" s="8">
        <v>3</v>
      </c>
      <c r="D103" s="8" t="s">
        <v>26</v>
      </c>
      <c r="E103" s="8">
        <v>2</v>
      </c>
      <c r="G103">
        <v>88</v>
      </c>
      <c r="H103" t="s">
        <v>291</v>
      </c>
      <c r="I103" t="s">
        <v>292</v>
      </c>
      <c r="J103" t="s">
        <v>29</v>
      </c>
      <c r="K103" t="s">
        <v>30</v>
      </c>
      <c r="L103" t="s">
        <v>293</v>
      </c>
      <c r="M103" s="8">
        <v>4</v>
      </c>
      <c r="N103" s="9">
        <v>3</v>
      </c>
      <c r="O103" s="9">
        <v>3</v>
      </c>
      <c r="P103" s="10">
        <v>2</v>
      </c>
      <c r="Q103" s="10">
        <v>0</v>
      </c>
      <c r="R103" s="10">
        <v>1</v>
      </c>
      <c r="S103" s="9">
        <v>3</v>
      </c>
      <c r="T103" s="9">
        <v>3</v>
      </c>
      <c r="U103" s="10">
        <v>3</v>
      </c>
      <c r="V103" s="10">
        <v>3</v>
      </c>
      <c r="W103" s="11">
        <v>1</v>
      </c>
      <c r="X103" s="5">
        <v>3</v>
      </c>
      <c r="Y103" s="5">
        <v>1</v>
      </c>
      <c r="Z103" s="5">
        <v>3</v>
      </c>
      <c r="AA103" s="5">
        <v>2.33333333333333</v>
      </c>
      <c r="AB103" s="5">
        <v>2</v>
      </c>
    </row>
    <row r="104" spans="1:28">
      <c r="A104" s="8">
        <v>2</v>
      </c>
      <c r="B104" s="8">
        <v>2</v>
      </c>
      <c r="C104" s="8">
        <v>4</v>
      </c>
      <c r="D104" s="8" t="s">
        <v>114</v>
      </c>
      <c r="E104" s="8">
        <v>2</v>
      </c>
      <c r="G104">
        <v>90</v>
      </c>
      <c r="H104" t="s">
        <v>298</v>
      </c>
      <c r="I104" t="s">
        <v>299</v>
      </c>
      <c r="J104" t="s">
        <v>29</v>
      </c>
      <c r="K104" t="s">
        <v>30</v>
      </c>
      <c r="L104" t="s">
        <v>300</v>
      </c>
      <c r="M104" s="8">
        <v>4</v>
      </c>
      <c r="N104" s="9">
        <v>1</v>
      </c>
      <c r="O104" s="9">
        <v>0</v>
      </c>
      <c r="P104" s="10">
        <v>1</v>
      </c>
      <c r="Q104" s="10">
        <v>0</v>
      </c>
      <c r="R104" s="10">
        <v>1</v>
      </c>
      <c r="S104" s="9">
        <v>1</v>
      </c>
      <c r="T104" s="9">
        <v>0</v>
      </c>
      <c r="U104" s="10">
        <v>1</v>
      </c>
      <c r="V104" s="10">
        <v>0</v>
      </c>
      <c r="W104" s="11">
        <v>1</v>
      </c>
      <c r="X104" s="5">
        <v>0.5</v>
      </c>
      <c r="Y104" s="5">
        <v>0.666666666666667</v>
      </c>
      <c r="Z104" s="5">
        <v>0.5</v>
      </c>
      <c r="AA104" s="5">
        <v>0.666666666666667</v>
      </c>
      <c r="AB104" s="5">
        <v>2</v>
      </c>
    </row>
    <row r="105" spans="1:28">
      <c r="A105" s="8">
        <v>2</v>
      </c>
      <c r="B105" s="8">
        <v>3</v>
      </c>
      <c r="C105" s="8">
        <v>4</v>
      </c>
      <c r="D105" s="8" t="s">
        <v>26</v>
      </c>
      <c r="E105" s="8">
        <v>1</v>
      </c>
      <c r="G105">
        <v>91</v>
      </c>
      <c r="H105" t="s">
        <v>301</v>
      </c>
      <c r="I105" t="s">
        <v>302</v>
      </c>
      <c r="J105" t="s">
        <v>29</v>
      </c>
      <c r="K105" t="s">
        <v>30</v>
      </c>
      <c r="L105" t="s">
        <v>303</v>
      </c>
      <c r="M105" s="8">
        <v>4</v>
      </c>
      <c r="N105" s="9">
        <v>2</v>
      </c>
      <c r="O105" s="9">
        <v>2</v>
      </c>
      <c r="P105" s="10">
        <v>2</v>
      </c>
      <c r="Q105" s="10">
        <v>1</v>
      </c>
      <c r="R105" s="10">
        <v>1</v>
      </c>
      <c r="S105" s="9">
        <v>2</v>
      </c>
      <c r="T105" s="9">
        <v>2</v>
      </c>
      <c r="U105" s="10">
        <v>2</v>
      </c>
      <c r="V105" s="10">
        <v>2</v>
      </c>
      <c r="W105" s="11">
        <v>2</v>
      </c>
      <c r="X105" s="5">
        <v>2</v>
      </c>
      <c r="Y105" s="5">
        <v>1.33333333333333</v>
      </c>
      <c r="Z105" s="5">
        <v>2</v>
      </c>
      <c r="AA105" s="5">
        <v>2</v>
      </c>
      <c r="AB105" s="5">
        <v>3</v>
      </c>
    </row>
    <row r="106" spans="1:28">
      <c r="A106" s="8">
        <v>2</v>
      </c>
      <c r="B106" s="8">
        <v>2</v>
      </c>
      <c r="C106" s="8">
        <v>3</v>
      </c>
      <c r="D106" s="8" t="s">
        <v>39</v>
      </c>
      <c r="E106" s="8">
        <v>2</v>
      </c>
      <c r="G106">
        <v>94</v>
      </c>
      <c r="H106" t="s">
        <v>309</v>
      </c>
      <c r="I106" t="s">
        <v>310</v>
      </c>
      <c r="J106" t="s">
        <v>29</v>
      </c>
      <c r="K106" t="s">
        <v>30</v>
      </c>
      <c r="L106" t="s">
        <v>311</v>
      </c>
      <c r="M106" s="8">
        <v>4</v>
      </c>
      <c r="N106" s="9">
        <v>2</v>
      </c>
      <c r="O106" s="9">
        <v>2</v>
      </c>
      <c r="P106" s="10">
        <v>1</v>
      </c>
      <c r="Q106" s="10">
        <v>1</v>
      </c>
      <c r="R106" s="10">
        <v>1</v>
      </c>
      <c r="S106" s="9">
        <v>1</v>
      </c>
      <c r="T106" s="9">
        <v>1</v>
      </c>
      <c r="U106" s="10">
        <v>2</v>
      </c>
      <c r="V106" s="10">
        <v>2</v>
      </c>
      <c r="W106" s="11">
        <v>2</v>
      </c>
      <c r="X106" s="5">
        <v>2</v>
      </c>
      <c r="Y106" s="5">
        <v>1</v>
      </c>
      <c r="Z106" s="5">
        <v>1</v>
      </c>
      <c r="AA106" s="5">
        <v>2</v>
      </c>
      <c r="AB106" s="5">
        <v>2</v>
      </c>
    </row>
    <row r="107" spans="1:28">
      <c r="A107" s="8">
        <v>2</v>
      </c>
      <c r="B107" s="8">
        <v>3</v>
      </c>
      <c r="C107" s="8">
        <v>3</v>
      </c>
      <c r="D107" s="8" t="s">
        <v>322</v>
      </c>
      <c r="E107" s="8">
        <v>1</v>
      </c>
      <c r="G107">
        <v>98</v>
      </c>
      <c r="H107" t="s">
        <v>323</v>
      </c>
      <c r="I107" t="s">
        <v>324</v>
      </c>
      <c r="J107" t="s">
        <v>29</v>
      </c>
      <c r="K107" t="s">
        <v>30</v>
      </c>
      <c r="L107" t="s">
        <v>325</v>
      </c>
      <c r="M107" s="8">
        <v>4</v>
      </c>
      <c r="N107" s="9">
        <v>2</v>
      </c>
      <c r="O107" s="9">
        <v>2</v>
      </c>
      <c r="P107" s="10">
        <v>1</v>
      </c>
      <c r="Q107" s="10">
        <v>1</v>
      </c>
      <c r="R107" s="10">
        <v>1</v>
      </c>
      <c r="S107" s="9">
        <v>2</v>
      </c>
      <c r="T107" s="9">
        <v>0</v>
      </c>
      <c r="U107" s="10">
        <v>2</v>
      </c>
      <c r="V107" s="10">
        <v>2</v>
      </c>
      <c r="W107" s="11">
        <v>2</v>
      </c>
      <c r="X107" s="5">
        <v>2</v>
      </c>
      <c r="Y107" s="5">
        <v>1</v>
      </c>
      <c r="Z107" s="5">
        <v>1</v>
      </c>
      <c r="AA107" s="5">
        <v>2</v>
      </c>
      <c r="AB107" s="5">
        <v>2</v>
      </c>
    </row>
    <row r="108" spans="1:28">
      <c r="A108" s="8">
        <v>2</v>
      </c>
      <c r="B108" s="8">
        <v>2</v>
      </c>
      <c r="C108" s="8">
        <v>3</v>
      </c>
      <c r="D108" s="8" t="s">
        <v>39</v>
      </c>
      <c r="E108" s="8">
        <v>1</v>
      </c>
      <c r="G108">
        <v>99</v>
      </c>
      <c r="H108" t="s">
        <v>326</v>
      </c>
      <c r="I108" t="s">
        <v>122</v>
      </c>
      <c r="J108" t="s">
        <v>29</v>
      </c>
      <c r="K108" t="s">
        <v>30</v>
      </c>
      <c r="L108" t="s">
        <v>327</v>
      </c>
      <c r="M108" s="8">
        <v>4</v>
      </c>
      <c r="N108" s="9">
        <v>2</v>
      </c>
      <c r="O108" s="9">
        <v>1</v>
      </c>
      <c r="P108" s="10">
        <v>2</v>
      </c>
      <c r="Q108" s="10">
        <v>1</v>
      </c>
      <c r="R108" s="10">
        <v>2</v>
      </c>
      <c r="S108" s="9">
        <v>1</v>
      </c>
      <c r="T108" s="9">
        <v>2</v>
      </c>
      <c r="U108" s="10">
        <v>1</v>
      </c>
      <c r="V108" s="10">
        <v>2</v>
      </c>
      <c r="W108" s="11">
        <v>2</v>
      </c>
      <c r="X108" s="5">
        <v>1.5</v>
      </c>
      <c r="Y108" s="5">
        <v>1.66666666666667</v>
      </c>
      <c r="Z108" s="5">
        <v>1.5</v>
      </c>
      <c r="AA108" s="5">
        <v>1.66666666666667</v>
      </c>
      <c r="AB108" s="5">
        <v>2</v>
      </c>
    </row>
    <row r="109" spans="1:28">
      <c r="A109" s="8">
        <v>2</v>
      </c>
      <c r="B109" s="8">
        <v>2</v>
      </c>
      <c r="C109" s="8">
        <v>3</v>
      </c>
      <c r="D109" s="8" t="s">
        <v>26</v>
      </c>
      <c r="E109" s="8">
        <v>2</v>
      </c>
      <c r="G109">
        <v>100</v>
      </c>
      <c r="H109" t="s">
        <v>328</v>
      </c>
      <c r="I109" t="s">
        <v>41</v>
      </c>
      <c r="J109" t="s">
        <v>29</v>
      </c>
      <c r="K109" t="s">
        <v>30</v>
      </c>
      <c r="L109" t="s">
        <v>329</v>
      </c>
      <c r="M109" s="8">
        <v>4</v>
      </c>
      <c r="N109" s="9">
        <v>3</v>
      </c>
      <c r="O109" s="9">
        <v>3</v>
      </c>
      <c r="P109" s="10">
        <v>3</v>
      </c>
      <c r="Q109" s="10">
        <v>3</v>
      </c>
      <c r="R109" s="10">
        <v>3</v>
      </c>
      <c r="S109" s="9">
        <v>3</v>
      </c>
      <c r="T109" s="9">
        <v>3</v>
      </c>
      <c r="U109" s="10">
        <v>3</v>
      </c>
      <c r="V109" s="10">
        <v>2</v>
      </c>
      <c r="W109" s="11">
        <v>3</v>
      </c>
      <c r="X109" s="5">
        <v>3</v>
      </c>
      <c r="Y109" s="5">
        <v>3</v>
      </c>
      <c r="Z109" s="5">
        <v>3</v>
      </c>
      <c r="AA109" s="5">
        <v>2.66666666666667</v>
      </c>
      <c r="AB109" s="5">
        <v>3</v>
      </c>
    </row>
    <row r="110" spans="1:28">
      <c r="A110" s="8">
        <v>2</v>
      </c>
      <c r="B110" s="8">
        <v>2</v>
      </c>
      <c r="C110" s="8">
        <v>3</v>
      </c>
      <c r="D110" s="8" t="s">
        <v>26</v>
      </c>
      <c r="E110" s="8">
        <v>1</v>
      </c>
      <c r="G110">
        <v>104</v>
      </c>
      <c r="H110" t="s">
        <v>339</v>
      </c>
      <c r="I110" t="s">
        <v>77</v>
      </c>
      <c r="J110" t="s">
        <v>29</v>
      </c>
      <c r="K110" t="s">
        <v>30</v>
      </c>
      <c r="L110" t="s">
        <v>340</v>
      </c>
      <c r="M110" s="8">
        <v>4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9">
        <v>0</v>
      </c>
      <c r="U110" s="10">
        <v>0</v>
      </c>
      <c r="V110" s="10">
        <v>0</v>
      </c>
      <c r="W110" s="11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</row>
    <row r="111" spans="1:28">
      <c r="A111" s="8">
        <v>2</v>
      </c>
      <c r="B111" s="8">
        <v>2</v>
      </c>
      <c r="C111" s="8">
        <v>3</v>
      </c>
      <c r="D111" s="8" t="s">
        <v>26</v>
      </c>
      <c r="E111" s="8">
        <v>2</v>
      </c>
      <c r="G111">
        <v>109</v>
      </c>
      <c r="H111" t="s">
        <v>354</v>
      </c>
      <c r="I111" t="s">
        <v>355</v>
      </c>
      <c r="J111" t="s">
        <v>343</v>
      </c>
      <c r="K111" t="s">
        <v>344</v>
      </c>
      <c r="L111" t="s">
        <v>356</v>
      </c>
      <c r="M111" s="8">
        <v>4</v>
      </c>
      <c r="N111" s="9">
        <v>2</v>
      </c>
      <c r="O111" s="9">
        <v>1</v>
      </c>
      <c r="P111" s="10">
        <v>2</v>
      </c>
      <c r="Q111" s="10">
        <v>1</v>
      </c>
      <c r="R111" s="10">
        <v>2</v>
      </c>
      <c r="S111" s="9">
        <v>1</v>
      </c>
      <c r="T111" s="9">
        <v>1</v>
      </c>
      <c r="U111" s="10">
        <v>2</v>
      </c>
      <c r="V111" s="10">
        <v>2</v>
      </c>
      <c r="W111" s="11">
        <v>1</v>
      </c>
      <c r="X111" s="5">
        <v>1.5</v>
      </c>
      <c r="Y111" s="5">
        <v>1.66666666666667</v>
      </c>
      <c r="Z111" s="5">
        <v>1</v>
      </c>
      <c r="AA111" s="5">
        <v>1.66666666666667</v>
      </c>
      <c r="AB111" s="5">
        <v>2</v>
      </c>
    </row>
    <row r="112" spans="1:28">
      <c r="A112" s="8">
        <v>1</v>
      </c>
      <c r="B112" s="8">
        <v>2</v>
      </c>
      <c r="C112" s="8">
        <v>3</v>
      </c>
      <c r="D112" s="8" t="s">
        <v>26</v>
      </c>
      <c r="E112" s="8">
        <v>2</v>
      </c>
      <c r="G112">
        <v>110</v>
      </c>
      <c r="H112" t="s">
        <v>357</v>
      </c>
      <c r="I112" t="s">
        <v>358</v>
      </c>
      <c r="J112" t="s">
        <v>343</v>
      </c>
      <c r="K112" t="s">
        <v>344</v>
      </c>
      <c r="L112" t="s">
        <v>359</v>
      </c>
      <c r="M112" s="8">
        <v>4</v>
      </c>
      <c r="N112" s="9">
        <v>2</v>
      </c>
      <c r="O112" s="9">
        <v>2</v>
      </c>
      <c r="P112" s="10">
        <v>1</v>
      </c>
      <c r="Q112" s="10">
        <v>0</v>
      </c>
      <c r="R112" s="10">
        <v>1</v>
      </c>
      <c r="S112" s="9">
        <v>1</v>
      </c>
      <c r="T112" s="9">
        <v>1</v>
      </c>
      <c r="U112" s="10">
        <v>2</v>
      </c>
      <c r="V112" s="10">
        <v>2</v>
      </c>
      <c r="W112" s="11">
        <v>2</v>
      </c>
      <c r="X112" s="5">
        <v>2</v>
      </c>
      <c r="Y112" s="5">
        <v>0.666666666666667</v>
      </c>
      <c r="Z112" s="5">
        <v>1</v>
      </c>
      <c r="AA112" s="5">
        <v>2</v>
      </c>
      <c r="AB112" s="5">
        <v>2</v>
      </c>
    </row>
  </sheetData>
  <sortState ref="M4:AD112">
    <sortCondition ref="M4:M11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0"/>
  <sheetViews>
    <sheetView topLeftCell="B1" workbookViewId="0">
      <pane ySplit="1" topLeftCell="A2" activePane="bottomLeft" state="frozen"/>
      <selection/>
      <selection pane="bottomLeft" activeCell="P13" sqref="P13"/>
    </sheetView>
  </sheetViews>
  <sheetFormatPr defaultColWidth="9.45454545454546" defaultRowHeight="12.5"/>
  <cols>
    <col min="1" max="1" width="9.45454545454546" style="5"/>
    <col min="2" max="2" width="14" style="5"/>
    <col min="3" max="3" width="9.45454545454546" style="5"/>
    <col min="4" max="5" width="12.8181818181818" style="5"/>
    <col min="7" max="7" width="16.0909090909091" customWidth="1"/>
    <col min="14" max="17" width="17.1818181818182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ht="13" spans="1:17">
      <c r="A2" s="5">
        <v>1.5</v>
      </c>
      <c r="B2" s="5">
        <v>1.33333333333333</v>
      </c>
      <c r="C2" s="5">
        <v>1</v>
      </c>
      <c r="D2" s="5">
        <v>2</v>
      </c>
      <c r="E2" s="5">
        <v>1</v>
      </c>
      <c r="F2" s="4" t="s">
        <v>3</v>
      </c>
      <c r="G2">
        <v>1</v>
      </c>
      <c r="N2" s="6" t="s">
        <v>362</v>
      </c>
      <c r="O2" s="6" t="s">
        <v>363</v>
      </c>
      <c r="P2" s="6" t="s">
        <v>364</v>
      </c>
      <c r="Q2" s="6" t="s">
        <v>365</v>
      </c>
    </row>
    <row r="3" ht="13" spans="1:7">
      <c r="A3" s="5">
        <v>1.5</v>
      </c>
      <c r="B3" s="5">
        <v>1.33333333333333</v>
      </c>
      <c r="C3" s="5">
        <v>1</v>
      </c>
      <c r="D3" s="5">
        <v>2</v>
      </c>
      <c r="E3" s="5">
        <v>1</v>
      </c>
      <c r="F3" s="4" t="s">
        <v>3</v>
      </c>
      <c r="G3">
        <v>1</v>
      </c>
    </row>
    <row r="4" ht="13" spans="1:7">
      <c r="A4" s="5">
        <v>1</v>
      </c>
      <c r="B4" s="5">
        <v>1.33333333333333</v>
      </c>
      <c r="C4" s="5">
        <v>1.5</v>
      </c>
      <c r="D4" s="5">
        <v>2</v>
      </c>
      <c r="E4" s="5">
        <v>1</v>
      </c>
      <c r="F4" s="4" t="s">
        <v>3</v>
      </c>
      <c r="G4">
        <v>1</v>
      </c>
    </row>
    <row r="5" ht="13" spans="1:7">
      <c r="A5" s="5">
        <v>0</v>
      </c>
      <c r="B5" s="5">
        <v>0</v>
      </c>
      <c r="C5" s="5">
        <v>2</v>
      </c>
      <c r="D5" s="5">
        <v>2.33333333333333</v>
      </c>
      <c r="E5" s="5">
        <v>1</v>
      </c>
      <c r="F5" s="4" t="s">
        <v>3</v>
      </c>
      <c r="G5">
        <v>1</v>
      </c>
    </row>
    <row r="6" ht="13" spans="1:17">
      <c r="A6" s="5">
        <v>1</v>
      </c>
      <c r="B6" s="5">
        <v>0</v>
      </c>
      <c r="C6" s="5">
        <v>0</v>
      </c>
      <c r="D6" s="5">
        <v>2.66666666666667</v>
      </c>
      <c r="E6" s="5">
        <v>1</v>
      </c>
      <c r="F6" s="4" t="s">
        <v>3</v>
      </c>
      <c r="G6">
        <v>1</v>
      </c>
      <c r="N6" s="4" t="s">
        <v>3</v>
      </c>
      <c r="O6" s="4" t="s">
        <v>1</v>
      </c>
      <c r="P6" s="4" t="s">
        <v>0</v>
      </c>
      <c r="Q6" s="4" t="s">
        <v>2</v>
      </c>
    </row>
    <row r="7" ht="13" spans="1:17">
      <c r="A7" s="5">
        <v>0</v>
      </c>
      <c r="B7" s="5">
        <v>0.333333333333333</v>
      </c>
      <c r="C7" s="5">
        <v>0</v>
      </c>
      <c r="D7" s="5">
        <v>0.666666666666667</v>
      </c>
      <c r="E7" s="5">
        <v>1</v>
      </c>
      <c r="F7" s="4" t="s">
        <v>3</v>
      </c>
      <c r="G7">
        <v>1</v>
      </c>
      <c r="N7">
        <v>12</v>
      </c>
      <c r="O7">
        <v>11</v>
      </c>
      <c r="P7">
        <v>41</v>
      </c>
      <c r="Q7">
        <v>6</v>
      </c>
    </row>
    <row r="8" ht="13" spans="1:17">
      <c r="A8" s="5">
        <v>1</v>
      </c>
      <c r="B8" s="5">
        <v>1.33333333333333</v>
      </c>
      <c r="C8" s="5">
        <v>1</v>
      </c>
      <c r="D8" s="5">
        <v>1.66666666666667</v>
      </c>
      <c r="E8" s="5">
        <v>1</v>
      </c>
      <c r="F8" s="4" t="s">
        <v>3</v>
      </c>
      <c r="G8">
        <v>1</v>
      </c>
      <c r="N8">
        <f>N7/70</f>
        <v>0.171428571428571</v>
      </c>
      <c r="O8">
        <f>O7/70</f>
        <v>0.157142857142857</v>
      </c>
      <c r="P8">
        <f>P7/70</f>
        <v>0.585714285714286</v>
      </c>
      <c r="Q8">
        <f>Q7/70</f>
        <v>0.0857142857142857</v>
      </c>
    </row>
    <row r="9" ht="13" spans="1:7">
      <c r="A9" s="5">
        <v>1.5</v>
      </c>
      <c r="B9" s="5">
        <v>-0.333333333333333</v>
      </c>
      <c r="C9" s="5">
        <v>2</v>
      </c>
      <c r="D9" s="5">
        <v>1.66666666666667</v>
      </c>
      <c r="E9" s="5">
        <v>1</v>
      </c>
      <c r="F9" s="4" t="s">
        <v>3</v>
      </c>
      <c r="G9">
        <v>1</v>
      </c>
    </row>
    <row r="10" ht="13" spans="1:7">
      <c r="A10" s="5">
        <v>1.5</v>
      </c>
      <c r="B10" s="5">
        <v>1</v>
      </c>
      <c r="C10" s="5">
        <v>1</v>
      </c>
      <c r="D10" s="5">
        <v>1.66666666666667</v>
      </c>
      <c r="E10" s="5">
        <v>1</v>
      </c>
      <c r="F10" s="4" t="s">
        <v>3</v>
      </c>
      <c r="G10">
        <v>1</v>
      </c>
    </row>
    <row r="11" ht="13" spans="1:7">
      <c r="A11" s="5">
        <v>1</v>
      </c>
      <c r="B11" s="5">
        <v>0</v>
      </c>
      <c r="C11" s="5">
        <v>1</v>
      </c>
      <c r="D11" s="5">
        <v>1.33333333333333</v>
      </c>
      <c r="E11" s="5">
        <v>1</v>
      </c>
      <c r="F11" s="4" t="s">
        <v>3</v>
      </c>
      <c r="G11">
        <v>1</v>
      </c>
    </row>
    <row r="12" ht="16" customHeight="1" spans="1:7">
      <c r="A12" s="5">
        <v>0.5</v>
      </c>
      <c r="B12" s="5">
        <v>1</v>
      </c>
      <c r="C12" s="5">
        <v>0.5</v>
      </c>
      <c r="D12" s="5">
        <v>1.33333333333333</v>
      </c>
      <c r="E12" s="5">
        <v>1</v>
      </c>
      <c r="F12" s="4" t="s">
        <v>3</v>
      </c>
      <c r="G12">
        <v>1</v>
      </c>
    </row>
    <row r="13" ht="13" spans="1:7">
      <c r="A13" s="5">
        <v>1.5</v>
      </c>
      <c r="B13" s="5">
        <v>1</v>
      </c>
      <c r="C13" s="5">
        <v>1</v>
      </c>
      <c r="D13" s="5">
        <v>2</v>
      </c>
      <c r="E13" s="5">
        <v>1</v>
      </c>
      <c r="F13" s="4" t="s">
        <v>3</v>
      </c>
      <c r="G13">
        <v>1</v>
      </c>
    </row>
    <row r="14" ht="13" spans="1:17">
      <c r="A14" s="5">
        <v>1.5</v>
      </c>
      <c r="B14" s="5">
        <v>2</v>
      </c>
      <c r="C14" s="5">
        <v>1</v>
      </c>
      <c r="D14" s="5">
        <v>1.33333333333333</v>
      </c>
      <c r="E14" s="5">
        <v>1</v>
      </c>
      <c r="F14" s="4" t="s">
        <v>1</v>
      </c>
      <c r="G14">
        <v>1</v>
      </c>
      <c r="N14" s="4" t="s">
        <v>366</v>
      </c>
      <c r="O14" s="4" t="s">
        <v>367</v>
      </c>
      <c r="P14" s="4" t="s">
        <v>368</v>
      </c>
      <c r="Q14" s="4" t="s">
        <v>369</v>
      </c>
    </row>
    <row r="15" ht="13" spans="1:17">
      <c r="A15" s="5">
        <v>1.5</v>
      </c>
      <c r="B15" s="5">
        <v>1.66666666666667</v>
      </c>
      <c r="C15" s="5">
        <v>1</v>
      </c>
      <c r="D15" s="5">
        <v>0.666666666666667</v>
      </c>
      <c r="E15" s="5">
        <v>1</v>
      </c>
      <c r="F15" s="4" t="s">
        <v>1</v>
      </c>
      <c r="G15">
        <v>1</v>
      </c>
      <c r="N15" s="4" t="s">
        <v>370</v>
      </c>
      <c r="Q15" s="7">
        <v>1</v>
      </c>
    </row>
    <row r="16" ht="13" spans="1:17">
      <c r="A16" s="5">
        <v>1</v>
      </c>
      <c r="B16" s="5">
        <v>2</v>
      </c>
      <c r="C16" s="5">
        <v>1</v>
      </c>
      <c r="D16" s="5">
        <v>1</v>
      </c>
      <c r="E16" s="5">
        <v>1</v>
      </c>
      <c r="F16" s="4" t="s">
        <v>1</v>
      </c>
      <c r="G16">
        <v>1</v>
      </c>
      <c r="N16" s="4" t="s">
        <v>371</v>
      </c>
      <c r="Q16" s="7">
        <v>0.5</v>
      </c>
    </row>
    <row r="17" ht="13" spans="1:17">
      <c r="A17" s="5">
        <v>1</v>
      </c>
      <c r="B17" s="5">
        <v>2.33333333333333</v>
      </c>
      <c r="C17" s="5">
        <v>0</v>
      </c>
      <c r="D17" s="5">
        <v>1</v>
      </c>
      <c r="E17" s="5">
        <v>1</v>
      </c>
      <c r="F17" s="4" t="s">
        <v>1</v>
      </c>
      <c r="G17">
        <v>1</v>
      </c>
      <c r="N17" s="4" t="s">
        <v>372</v>
      </c>
      <c r="Q17" s="7">
        <v>0.333</v>
      </c>
    </row>
    <row r="18" ht="13" spans="1:17">
      <c r="A18" s="5">
        <v>1.5</v>
      </c>
      <c r="B18" s="5">
        <v>2.33333333333333</v>
      </c>
      <c r="C18" s="5">
        <v>2</v>
      </c>
      <c r="D18" s="5">
        <v>2</v>
      </c>
      <c r="E18" s="5">
        <v>1</v>
      </c>
      <c r="F18" s="4" t="s">
        <v>1</v>
      </c>
      <c r="G18">
        <v>1</v>
      </c>
      <c r="N18" s="4" t="s">
        <v>373</v>
      </c>
      <c r="Q18" s="7">
        <v>0.25</v>
      </c>
    </row>
    <row r="19" ht="13" spans="1:7">
      <c r="A19" s="5">
        <v>1.5</v>
      </c>
      <c r="B19" s="5">
        <v>2</v>
      </c>
      <c r="C19" s="5">
        <v>1.5</v>
      </c>
      <c r="D19" s="5">
        <v>1.66666666666667</v>
      </c>
      <c r="E19" s="5">
        <v>1</v>
      </c>
      <c r="F19" s="4" t="s">
        <v>1</v>
      </c>
      <c r="G19">
        <v>1</v>
      </c>
    </row>
    <row r="20" ht="13" spans="1:7">
      <c r="A20" s="5">
        <v>1.5</v>
      </c>
      <c r="B20" s="5">
        <v>1.66666666666667</v>
      </c>
      <c r="C20" s="5">
        <v>1.5</v>
      </c>
      <c r="D20" s="5">
        <v>1.33333333333333</v>
      </c>
      <c r="E20" s="5">
        <v>1</v>
      </c>
      <c r="F20" s="4" t="s">
        <v>1</v>
      </c>
      <c r="G20">
        <v>1</v>
      </c>
    </row>
    <row r="21" ht="13" spans="1:7">
      <c r="A21" s="5">
        <v>1</v>
      </c>
      <c r="B21" s="5">
        <v>1.33333333333333</v>
      </c>
      <c r="C21" s="5">
        <v>0.5</v>
      </c>
      <c r="D21" s="5">
        <v>1</v>
      </c>
      <c r="E21" s="5">
        <v>1</v>
      </c>
      <c r="F21" s="4" t="s">
        <v>1</v>
      </c>
      <c r="G21">
        <v>1</v>
      </c>
    </row>
    <row r="22" ht="13" spans="1:7">
      <c r="A22" s="5">
        <v>1.5</v>
      </c>
      <c r="B22" s="5">
        <v>1.66666666666667</v>
      </c>
      <c r="C22" s="5">
        <v>1.5</v>
      </c>
      <c r="D22" s="5">
        <v>1.33333333333333</v>
      </c>
      <c r="E22" s="5">
        <v>1</v>
      </c>
      <c r="F22" s="4" t="s">
        <v>1</v>
      </c>
      <c r="G22">
        <v>1</v>
      </c>
    </row>
    <row r="23" ht="13" spans="1:7">
      <c r="A23" s="5">
        <v>2.5</v>
      </c>
      <c r="B23" s="5">
        <v>2.66666666666667</v>
      </c>
      <c r="C23" s="5">
        <v>1</v>
      </c>
      <c r="D23" s="5">
        <v>2</v>
      </c>
      <c r="E23" s="5">
        <v>1</v>
      </c>
      <c r="F23" s="4" t="s">
        <v>1</v>
      </c>
      <c r="G23">
        <v>1</v>
      </c>
    </row>
    <row r="24" ht="13" spans="1:7">
      <c r="A24" s="5">
        <v>0</v>
      </c>
      <c r="B24" s="5">
        <v>0.666666666666667</v>
      </c>
      <c r="C24" s="5">
        <v>0</v>
      </c>
      <c r="D24" s="5">
        <v>0.333333333333333</v>
      </c>
      <c r="E24" s="5">
        <v>1</v>
      </c>
      <c r="F24" s="4" t="s">
        <v>1</v>
      </c>
      <c r="G24">
        <v>1</v>
      </c>
    </row>
    <row r="25" ht="13" spans="1:9">
      <c r="A25" s="5">
        <v>0.5</v>
      </c>
      <c r="B25" s="5">
        <v>0.666666666666667</v>
      </c>
      <c r="C25" s="5">
        <v>0</v>
      </c>
      <c r="D25" s="5">
        <v>0.666666666666667</v>
      </c>
      <c r="E25" s="5">
        <v>2</v>
      </c>
      <c r="F25" s="4" t="s">
        <v>1</v>
      </c>
      <c r="G25">
        <v>0.5</v>
      </c>
      <c r="H25" s="4" t="s">
        <v>3</v>
      </c>
      <c r="I25">
        <v>0.5</v>
      </c>
    </row>
    <row r="26" ht="13" spans="1:7">
      <c r="A26" s="5">
        <v>1</v>
      </c>
      <c r="B26" s="5">
        <v>0.666666666666667</v>
      </c>
      <c r="C26" s="5">
        <v>0.5</v>
      </c>
      <c r="D26" s="5">
        <v>0.333333333333333</v>
      </c>
      <c r="E26" s="5">
        <v>1</v>
      </c>
      <c r="F26" s="4" t="s">
        <v>0</v>
      </c>
      <c r="G26">
        <v>1</v>
      </c>
    </row>
    <row r="27" ht="13" spans="1:7">
      <c r="A27" s="5">
        <v>2</v>
      </c>
      <c r="B27" s="5">
        <v>0.666666666666667</v>
      </c>
      <c r="C27" s="5">
        <v>1.5</v>
      </c>
      <c r="D27" s="5">
        <v>0.666666666666667</v>
      </c>
      <c r="E27" s="5">
        <v>1</v>
      </c>
      <c r="F27" s="4" t="s">
        <v>0</v>
      </c>
      <c r="G27">
        <v>1</v>
      </c>
    </row>
    <row r="28" ht="13" spans="1:7">
      <c r="A28" s="5">
        <v>2</v>
      </c>
      <c r="B28" s="5">
        <v>1.66666666666667</v>
      </c>
      <c r="C28" s="5">
        <v>1.5</v>
      </c>
      <c r="D28" s="5">
        <v>1.66666666666667</v>
      </c>
      <c r="E28" s="5">
        <v>1</v>
      </c>
      <c r="F28" s="4" t="s">
        <v>0</v>
      </c>
      <c r="G28">
        <v>1</v>
      </c>
    </row>
    <row r="29" ht="13" spans="1:7">
      <c r="A29" s="5">
        <v>3</v>
      </c>
      <c r="B29" s="5">
        <v>1</v>
      </c>
      <c r="C29" s="5">
        <v>0</v>
      </c>
      <c r="D29" s="5">
        <v>1.33333333333333</v>
      </c>
      <c r="E29" s="5">
        <v>1</v>
      </c>
      <c r="F29" s="4" t="s">
        <v>0</v>
      </c>
      <c r="G29">
        <v>1</v>
      </c>
    </row>
    <row r="30" ht="13" spans="1:7">
      <c r="A30" s="5">
        <v>3</v>
      </c>
      <c r="B30" s="5">
        <v>1.66666666666667</v>
      </c>
      <c r="C30" s="5">
        <v>1.5</v>
      </c>
      <c r="D30" s="5">
        <v>1.66666666666667</v>
      </c>
      <c r="E30" s="5">
        <v>1</v>
      </c>
      <c r="F30" s="4" t="s">
        <v>0</v>
      </c>
      <c r="G30">
        <v>1</v>
      </c>
    </row>
    <row r="31" ht="13" spans="1:7">
      <c r="A31" s="5">
        <v>1.5</v>
      </c>
      <c r="B31" s="5">
        <v>1</v>
      </c>
      <c r="C31" s="5">
        <v>0</v>
      </c>
      <c r="D31" s="5">
        <v>1.33333333333333</v>
      </c>
      <c r="E31" s="5">
        <v>1</v>
      </c>
      <c r="F31" s="4" t="s">
        <v>0</v>
      </c>
      <c r="G31">
        <v>1</v>
      </c>
    </row>
    <row r="32" ht="13" spans="1:7">
      <c r="A32" s="5">
        <v>2.5</v>
      </c>
      <c r="B32" s="5">
        <v>1.33333333333333</v>
      </c>
      <c r="C32" s="5">
        <v>0</v>
      </c>
      <c r="D32" s="5">
        <v>1.66666666666667</v>
      </c>
      <c r="E32" s="5">
        <v>1</v>
      </c>
      <c r="F32" s="4" t="s">
        <v>0</v>
      </c>
      <c r="G32">
        <v>1</v>
      </c>
    </row>
    <row r="33" ht="13" spans="1:7">
      <c r="A33" s="5">
        <v>2.5</v>
      </c>
      <c r="B33" s="5">
        <v>1.66666666666667</v>
      </c>
      <c r="C33" s="5">
        <v>1.5</v>
      </c>
      <c r="D33" s="5">
        <v>2</v>
      </c>
      <c r="E33" s="5">
        <v>1</v>
      </c>
      <c r="F33" s="4" t="s">
        <v>0</v>
      </c>
      <c r="G33">
        <v>1</v>
      </c>
    </row>
    <row r="34" ht="13" spans="1:7">
      <c r="A34" s="5">
        <v>2.5</v>
      </c>
      <c r="B34" s="5">
        <v>1.66666666666667</v>
      </c>
      <c r="C34" s="5">
        <v>1.5</v>
      </c>
      <c r="D34" s="5">
        <v>2</v>
      </c>
      <c r="E34" s="5">
        <v>1</v>
      </c>
      <c r="F34" s="4" t="s">
        <v>0</v>
      </c>
      <c r="G34">
        <v>1</v>
      </c>
    </row>
    <row r="35" ht="13" spans="1:7">
      <c r="A35" s="5">
        <v>2.5</v>
      </c>
      <c r="B35" s="5">
        <v>2.66666666666667</v>
      </c>
      <c r="C35" s="5">
        <v>1</v>
      </c>
      <c r="D35" s="5">
        <v>1.66666666666667</v>
      </c>
      <c r="E35" s="5">
        <v>1</v>
      </c>
      <c r="F35" s="4" t="s">
        <v>0</v>
      </c>
      <c r="G35">
        <v>1</v>
      </c>
    </row>
    <row r="36" ht="13" spans="1:7">
      <c r="A36" s="5">
        <v>0.5</v>
      </c>
      <c r="B36" s="5">
        <v>0</v>
      </c>
      <c r="C36" s="5">
        <v>0</v>
      </c>
      <c r="D36" s="5">
        <v>0</v>
      </c>
      <c r="E36" s="5">
        <v>1</v>
      </c>
      <c r="F36" s="4" t="s">
        <v>0</v>
      </c>
      <c r="G36">
        <v>1</v>
      </c>
    </row>
    <row r="37" ht="13" spans="1:7">
      <c r="A37" s="5">
        <v>1</v>
      </c>
      <c r="B37" s="5">
        <v>0.333333333333333</v>
      </c>
      <c r="C37" s="5">
        <v>0</v>
      </c>
      <c r="D37" s="5">
        <v>0.333333333333333</v>
      </c>
      <c r="E37" s="5">
        <v>1</v>
      </c>
      <c r="F37" s="4" t="s">
        <v>0</v>
      </c>
      <c r="G37">
        <v>1</v>
      </c>
    </row>
    <row r="38" ht="13" spans="1:7">
      <c r="A38" s="5">
        <v>2</v>
      </c>
      <c r="B38" s="5">
        <v>1</v>
      </c>
      <c r="C38" s="5">
        <v>1</v>
      </c>
      <c r="D38" s="5">
        <v>1.66666666666667</v>
      </c>
      <c r="E38" s="5">
        <v>1</v>
      </c>
      <c r="F38" s="4" t="s">
        <v>0</v>
      </c>
      <c r="G38">
        <v>1</v>
      </c>
    </row>
    <row r="39" ht="13" spans="1:7">
      <c r="A39" s="5">
        <v>2.5</v>
      </c>
      <c r="B39" s="5">
        <v>2</v>
      </c>
      <c r="C39" s="5">
        <v>2</v>
      </c>
      <c r="D39" s="5">
        <v>1.33333333333333</v>
      </c>
      <c r="E39" s="5">
        <v>1</v>
      </c>
      <c r="F39" s="4" t="s">
        <v>0</v>
      </c>
      <c r="G39">
        <v>1</v>
      </c>
    </row>
    <row r="40" ht="13" spans="1:7">
      <c r="A40" s="5">
        <v>3</v>
      </c>
      <c r="B40" s="5">
        <v>1.33333333333333</v>
      </c>
      <c r="C40" s="5">
        <v>2</v>
      </c>
      <c r="D40" s="5">
        <v>2</v>
      </c>
      <c r="E40" s="5">
        <v>1</v>
      </c>
      <c r="F40" s="4" t="s">
        <v>0</v>
      </c>
      <c r="G40">
        <v>1</v>
      </c>
    </row>
    <row r="41" ht="13" spans="1:7">
      <c r="A41" s="5">
        <v>1</v>
      </c>
      <c r="B41" s="5">
        <v>0.333333333333333</v>
      </c>
      <c r="C41" s="5">
        <v>0</v>
      </c>
      <c r="D41" s="5">
        <v>0.666666666666667</v>
      </c>
      <c r="E41" s="5">
        <v>1</v>
      </c>
      <c r="F41" s="4" t="s">
        <v>0</v>
      </c>
      <c r="G41">
        <v>1</v>
      </c>
    </row>
    <row r="42" ht="13" spans="1:7">
      <c r="A42" s="5">
        <v>2</v>
      </c>
      <c r="B42" s="5">
        <v>1.33333333333333</v>
      </c>
      <c r="C42" s="5">
        <v>1</v>
      </c>
      <c r="D42" s="5">
        <v>1.66666666666667</v>
      </c>
      <c r="E42" s="5">
        <v>1</v>
      </c>
      <c r="F42" s="4" t="s">
        <v>0</v>
      </c>
      <c r="G42">
        <v>1</v>
      </c>
    </row>
    <row r="43" ht="13" spans="1:7">
      <c r="A43" s="5">
        <v>2.5</v>
      </c>
      <c r="B43" s="5">
        <v>2.33333333333333</v>
      </c>
      <c r="C43" s="5">
        <v>1</v>
      </c>
      <c r="D43" s="5">
        <v>2.33333333333333</v>
      </c>
      <c r="E43" s="5">
        <v>1</v>
      </c>
      <c r="F43" s="4" t="s">
        <v>0</v>
      </c>
      <c r="G43">
        <v>1</v>
      </c>
    </row>
    <row r="44" ht="13" spans="1:7">
      <c r="A44" s="5">
        <v>3</v>
      </c>
      <c r="B44" s="5">
        <v>1.66666666666667</v>
      </c>
      <c r="C44" s="5">
        <v>1</v>
      </c>
      <c r="D44" s="5">
        <v>1.33333333333333</v>
      </c>
      <c r="E44" s="5">
        <v>1</v>
      </c>
      <c r="F44" s="4" t="s">
        <v>0</v>
      </c>
      <c r="G44">
        <v>1</v>
      </c>
    </row>
    <row r="45" ht="13" spans="1:7">
      <c r="A45" s="5">
        <v>2</v>
      </c>
      <c r="B45" s="5">
        <v>0.666666666666667</v>
      </c>
      <c r="C45" s="5">
        <v>0.5</v>
      </c>
      <c r="D45" s="5">
        <v>0.666666666666667</v>
      </c>
      <c r="E45" s="5">
        <v>1</v>
      </c>
      <c r="F45" s="4" t="s">
        <v>0</v>
      </c>
      <c r="G45">
        <v>1</v>
      </c>
    </row>
    <row r="46" ht="13" spans="1:7">
      <c r="A46" s="5">
        <v>3</v>
      </c>
      <c r="B46" s="5">
        <v>1.66666666666667</v>
      </c>
      <c r="C46" s="5">
        <v>2</v>
      </c>
      <c r="D46" s="5">
        <v>1.66666666666667</v>
      </c>
      <c r="E46" s="5">
        <v>1</v>
      </c>
      <c r="F46" s="4" t="s">
        <v>0</v>
      </c>
      <c r="G46">
        <v>1</v>
      </c>
    </row>
    <row r="47" ht="13" spans="1:7">
      <c r="A47" s="5">
        <v>1</v>
      </c>
      <c r="B47" s="5">
        <v>0.333333333333333</v>
      </c>
      <c r="C47" s="5">
        <v>0</v>
      </c>
      <c r="D47" s="5">
        <v>0</v>
      </c>
      <c r="E47" s="5">
        <v>1</v>
      </c>
      <c r="F47" s="4" t="s">
        <v>0</v>
      </c>
      <c r="G47">
        <v>1</v>
      </c>
    </row>
    <row r="48" ht="13" spans="1:7">
      <c r="A48" s="5">
        <v>1.5</v>
      </c>
      <c r="B48" s="5">
        <v>0.333333333333333</v>
      </c>
      <c r="C48" s="5">
        <v>0</v>
      </c>
      <c r="D48" s="5">
        <v>1</v>
      </c>
      <c r="E48" s="5">
        <v>1</v>
      </c>
      <c r="F48" s="4" t="s">
        <v>0</v>
      </c>
      <c r="G48">
        <v>1</v>
      </c>
    </row>
    <row r="49" ht="13" spans="1:7">
      <c r="A49" s="5">
        <v>2.5</v>
      </c>
      <c r="B49" s="5">
        <v>2</v>
      </c>
      <c r="C49" s="5">
        <v>2</v>
      </c>
      <c r="D49" s="5">
        <v>2</v>
      </c>
      <c r="E49" s="5">
        <v>1</v>
      </c>
      <c r="F49" s="4" t="s">
        <v>0</v>
      </c>
      <c r="G49">
        <v>1</v>
      </c>
    </row>
    <row r="50" ht="13" spans="1:7">
      <c r="A50" s="5">
        <v>2.5</v>
      </c>
      <c r="B50" s="5">
        <v>1</v>
      </c>
      <c r="C50" s="5">
        <v>0.5</v>
      </c>
      <c r="D50" s="5">
        <v>2</v>
      </c>
      <c r="E50" s="5">
        <v>1</v>
      </c>
      <c r="F50" s="4" t="s">
        <v>0</v>
      </c>
      <c r="G50">
        <v>1</v>
      </c>
    </row>
    <row r="51" ht="13" spans="1:7">
      <c r="A51" s="5">
        <v>2</v>
      </c>
      <c r="B51" s="5">
        <v>1</v>
      </c>
      <c r="C51" s="5">
        <v>1.5</v>
      </c>
      <c r="D51" s="5">
        <v>1.33333333333333</v>
      </c>
      <c r="E51" s="5">
        <v>1</v>
      </c>
      <c r="F51" s="4" t="s">
        <v>0</v>
      </c>
      <c r="G51">
        <v>1</v>
      </c>
    </row>
    <row r="52" ht="13" spans="1:7">
      <c r="A52" s="5">
        <v>1</v>
      </c>
      <c r="B52" s="5">
        <v>0.666666666666667</v>
      </c>
      <c r="C52" s="5">
        <v>0.5</v>
      </c>
      <c r="D52" s="5">
        <v>0.666666666666667</v>
      </c>
      <c r="E52" s="5">
        <v>1</v>
      </c>
      <c r="F52" s="4" t="s">
        <v>0</v>
      </c>
      <c r="G52">
        <v>1</v>
      </c>
    </row>
    <row r="53" ht="13" spans="1:7">
      <c r="A53" s="5">
        <v>1.5</v>
      </c>
      <c r="B53" s="5">
        <v>0.666666666666667</v>
      </c>
      <c r="C53" s="5">
        <v>1</v>
      </c>
      <c r="D53" s="5">
        <v>1.33333333333333</v>
      </c>
      <c r="E53" s="5">
        <v>1</v>
      </c>
      <c r="F53" s="4" t="s">
        <v>0</v>
      </c>
      <c r="G53">
        <v>1</v>
      </c>
    </row>
    <row r="54" ht="13" spans="1:7">
      <c r="A54" s="5">
        <v>2</v>
      </c>
      <c r="B54" s="5">
        <v>1.33333333333333</v>
      </c>
      <c r="C54" s="5">
        <v>1</v>
      </c>
      <c r="D54" s="5">
        <v>0</v>
      </c>
      <c r="E54" s="5">
        <v>1</v>
      </c>
      <c r="F54" s="4" t="s">
        <v>0</v>
      </c>
      <c r="G54">
        <v>1</v>
      </c>
    </row>
    <row r="55" ht="13" spans="1:7">
      <c r="A55" s="5">
        <v>2.5</v>
      </c>
      <c r="B55" s="5">
        <v>1.33333333333333</v>
      </c>
      <c r="C55" s="5">
        <v>1.5</v>
      </c>
      <c r="D55" s="5">
        <v>1.66666666666667</v>
      </c>
      <c r="E55" s="5">
        <v>1</v>
      </c>
      <c r="F55" s="4" t="s">
        <v>0</v>
      </c>
      <c r="G55">
        <v>1</v>
      </c>
    </row>
    <row r="56" ht="13" spans="1:7">
      <c r="A56" s="5">
        <v>1.5</v>
      </c>
      <c r="B56" s="5">
        <v>1.33333333333333</v>
      </c>
      <c r="C56" s="5">
        <v>0</v>
      </c>
      <c r="D56" s="5">
        <v>0</v>
      </c>
      <c r="E56" s="5">
        <v>1</v>
      </c>
      <c r="F56" s="4" t="s">
        <v>0</v>
      </c>
      <c r="G56">
        <v>1</v>
      </c>
    </row>
    <row r="57" ht="13" spans="1:7">
      <c r="A57" s="5">
        <v>0.5</v>
      </c>
      <c r="B57" s="5">
        <v>0</v>
      </c>
      <c r="C57" s="5">
        <v>0</v>
      </c>
      <c r="D57" s="5">
        <v>0</v>
      </c>
      <c r="E57" s="5">
        <v>1</v>
      </c>
      <c r="F57" s="4" t="s">
        <v>0</v>
      </c>
      <c r="G57">
        <v>1</v>
      </c>
    </row>
    <row r="58" ht="13" spans="1:7">
      <c r="A58" s="5">
        <v>1</v>
      </c>
      <c r="B58" s="5">
        <v>0.666666666666667</v>
      </c>
      <c r="C58" s="5">
        <v>0.5</v>
      </c>
      <c r="D58" s="5">
        <v>0.666666666666667</v>
      </c>
      <c r="E58" s="5">
        <v>1</v>
      </c>
      <c r="F58" s="4" t="s">
        <v>0</v>
      </c>
      <c r="G58">
        <v>1</v>
      </c>
    </row>
    <row r="59" ht="13" spans="1:7">
      <c r="A59" s="5">
        <v>1.5</v>
      </c>
      <c r="B59" s="5">
        <v>1</v>
      </c>
      <c r="C59" s="5">
        <v>1</v>
      </c>
      <c r="D59" s="5">
        <v>1</v>
      </c>
      <c r="E59" s="5">
        <v>1</v>
      </c>
      <c r="F59" s="4" t="s">
        <v>0</v>
      </c>
      <c r="G59">
        <v>1</v>
      </c>
    </row>
    <row r="60" ht="13" spans="1:7">
      <c r="A60" s="5">
        <v>1.5</v>
      </c>
      <c r="B60" s="5">
        <v>1</v>
      </c>
      <c r="C60" s="5">
        <v>1</v>
      </c>
      <c r="D60" s="5">
        <v>1</v>
      </c>
      <c r="E60" s="5">
        <v>1</v>
      </c>
      <c r="F60" s="4" t="s">
        <v>0</v>
      </c>
      <c r="G60">
        <v>1</v>
      </c>
    </row>
    <row r="61" ht="13" spans="1:7">
      <c r="A61" s="5">
        <v>3</v>
      </c>
      <c r="B61" s="5">
        <v>1</v>
      </c>
      <c r="C61" s="5">
        <v>1</v>
      </c>
      <c r="D61" s="5">
        <v>1.66666666666667</v>
      </c>
      <c r="E61" s="5">
        <v>1</v>
      </c>
      <c r="F61" s="4" t="s">
        <v>0</v>
      </c>
      <c r="G61">
        <v>1</v>
      </c>
    </row>
    <row r="62" ht="13" spans="1:7">
      <c r="A62" s="5">
        <v>3</v>
      </c>
      <c r="B62" s="5">
        <v>1</v>
      </c>
      <c r="C62" s="5">
        <v>1.5</v>
      </c>
      <c r="D62" s="5">
        <v>2.66666666666667</v>
      </c>
      <c r="E62" s="5">
        <v>1</v>
      </c>
      <c r="F62" s="4" t="s">
        <v>0</v>
      </c>
      <c r="G62">
        <v>1</v>
      </c>
    </row>
    <row r="63" ht="13" spans="1:7">
      <c r="A63" s="5">
        <v>2.5</v>
      </c>
      <c r="B63" s="5">
        <v>1</v>
      </c>
      <c r="C63" s="5">
        <v>2</v>
      </c>
      <c r="D63" s="5">
        <v>2</v>
      </c>
      <c r="E63" s="5">
        <v>1</v>
      </c>
      <c r="F63" s="4" t="s">
        <v>0</v>
      </c>
      <c r="G63">
        <v>1</v>
      </c>
    </row>
    <row r="64" ht="13" spans="1:7">
      <c r="A64" s="5">
        <v>2.5</v>
      </c>
      <c r="B64" s="5">
        <v>1</v>
      </c>
      <c r="C64" s="5">
        <v>1</v>
      </c>
      <c r="D64" s="5">
        <v>1.33333333333333</v>
      </c>
      <c r="E64" s="5">
        <v>1</v>
      </c>
      <c r="F64" s="4" t="s">
        <v>0</v>
      </c>
      <c r="G64">
        <v>1</v>
      </c>
    </row>
    <row r="65" ht="13" spans="1:7">
      <c r="A65" s="5">
        <v>3</v>
      </c>
      <c r="B65" s="5">
        <v>1.66666666666667</v>
      </c>
      <c r="C65" s="5">
        <v>0</v>
      </c>
      <c r="D65" s="5">
        <v>1.33333333333333</v>
      </c>
      <c r="E65" s="5">
        <v>1</v>
      </c>
      <c r="F65" s="4" t="s">
        <v>0</v>
      </c>
      <c r="G65">
        <v>1</v>
      </c>
    </row>
    <row r="66" ht="13" spans="1:7">
      <c r="A66" s="5">
        <v>3</v>
      </c>
      <c r="B66" s="5">
        <v>2.33333333333333</v>
      </c>
      <c r="C66" s="5">
        <v>2.5</v>
      </c>
      <c r="D66" s="5">
        <v>2.33333333333333</v>
      </c>
      <c r="E66" s="5">
        <v>1</v>
      </c>
      <c r="F66" s="4" t="s">
        <v>0</v>
      </c>
      <c r="G66">
        <v>1</v>
      </c>
    </row>
    <row r="67" ht="13" spans="1:7">
      <c r="A67" s="5">
        <v>0.5</v>
      </c>
      <c r="B67" s="5">
        <v>0.666666666666667</v>
      </c>
      <c r="C67" s="5">
        <v>1</v>
      </c>
      <c r="D67" s="5">
        <v>0.666666666666667</v>
      </c>
      <c r="E67" s="5">
        <v>1</v>
      </c>
      <c r="F67" s="4" t="s">
        <v>2</v>
      </c>
      <c r="G67">
        <v>1</v>
      </c>
    </row>
    <row r="68" ht="13" spans="1:7">
      <c r="A68" s="5">
        <v>2</v>
      </c>
      <c r="B68" s="5">
        <v>2</v>
      </c>
      <c r="C68" s="5">
        <v>3</v>
      </c>
      <c r="D68" s="5">
        <v>1.66666666666667</v>
      </c>
      <c r="E68" s="5">
        <v>1</v>
      </c>
      <c r="F68" s="4" t="s">
        <v>2</v>
      </c>
      <c r="G68">
        <v>1</v>
      </c>
    </row>
    <row r="69" ht="13" spans="1:7">
      <c r="A69" s="5">
        <v>1.5</v>
      </c>
      <c r="B69" s="5">
        <v>2</v>
      </c>
      <c r="C69" s="5">
        <v>2.5</v>
      </c>
      <c r="D69" s="5">
        <v>1.66666666666667</v>
      </c>
      <c r="E69" s="5">
        <v>1</v>
      </c>
      <c r="F69" s="4" t="s">
        <v>2</v>
      </c>
      <c r="G69">
        <v>1</v>
      </c>
    </row>
    <row r="70" ht="13" spans="1:7">
      <c r="A70" s="5">
        <v>1</v>
      </c>
      <c r="B70" s="5">
        <v>1.33333333333333</v>
      </c>
      <c r="C70" s="5">
        <v>1.5</v>
      </c>
      <c r="D70" s="5">
        <v>1.33333333333333</v>
      </c>
      <c r="E70" s="5">
        <v>1</v>
      </c>
      <c r="F70" s="4" t="s">
        <v>2</v>
      </c>
      <c r="G70">
        <v>1</v>
      </c>
    </row>
    <row r="71" ht="13" spans="1:7">
      <c r="A71" s="5">
        <v>0</v>
      </c>
      <c r="B71" s="5">
        <v>1</v>
      </c>
      <c r="C71" s="5">
        <v>1.5</v>
      </c>
      <c r="D71" s="5">
        <v>1</v>
      </c>
      <c r="E71" s="5">
        <v>1</v>
      </c>
      <c r="F71" s="4" t="s">
        <v>2</v>
      </c>
      <c r="G71">
        <v>1</v>
      </c>
    </row>
    <row r="72" ht="13" spans="1:7">
      <c r="A72" s="5">
        <v>2</v>
      </c>
      <c r="B72" s="5">
        <v>1</v>
      </c>
      <c r="C72" s="5">
        <v>2.5</v>
      </c>
      <c r="D72" s="5">
        <v>1.66666666666667</v>
      </c>
      <c r="E72" s="5">
        <v>1</v>
      </c>
      <c r="F72" s="4" t="s">
        <v>2</v>
      </c>
      <c r="G72">
        <v>1</v>
      </c>
    </row>
    <row r="73" ht="13" spans="1:13">
      <c r="A73" s="5">
        <v>1</v>
      </c>
      <c r="B73" s="5">
        <v>1</v>
      </c>
      <c r="C73" s="5">
        <v>1</v>
      </c>
      <c r="D73" s="5">
        <v>1</v>
      </c>
      <c r="E73" s="5">
        <v>4</v>
      </c>
      <c r="F73" s="4" t="s">
        <v>0</v>
      </c>
      <c r="G73">
        <v>0.25</v>
      </c>
      <c r="H73" s="4" t="s">
        <v>1</v>
      </c>
      <c r="I73">
        <v>0.25</v>
      </c>
      <c r="J73" s="4" t="s">
        <v>3</v>
      </c>
      <c r="K73">
        <v>0.25</v>
      </c>
      <c r="L73" s="4" t="s">
        <v>2</v>
      </c>
      <c r="M73">
        <v>0.25</v>
      </c>
    </row>
    <row r="74" ht="13" spans="1:13">
      <c r="A74" s="5">
        <v>0</v>
      </c>
      <c r="B74" s="5">
        <v>0</v>
      </c>
      <c r="C74" s="5">
        <v>0</v>
      </c>
      <c r="D74" s="5">
        <v>0</v>
      </c>
      <c r="E74" s="5">
        <v>4</v>
      </c>
      <c r="F74" s="4" t="s">
        <v>0</v>
      </c>
      <c r="G74">
        <v>0.25</v>
      </c>
      <c r="H74" s="4" t="s">
        <v>1</v>
      </c>
      <c r="I74">
        <v>0.25</v>
      </c>
      <c r="J74" s="4" t="s">
        <v>3</v>
      </c>
      <c r="K74">
        <v>0.25</v>
      </c>
      <c r="L74" s="4" t="s">
        <v>2</v>
      </c>
      <c r="M74">
        <v>0.25</v>
      </c>
    </row>
    <row r="75" ht="13" spans="1:13">
      <c r="A75" s="5">
        <v>2</v>
      </c>
      <c r="B75" s="5">
        <v>2</v>
      </c>
      <c r="C75" s="5">
        <v>2</v>
      </c>
      <c r="D75" s="5">
        <v>2</v>
      </c>
      <c r="E75" s="5">
        <v>4</v>
      </c>
      <c r="F75" s="4" t="s">
        <v>0</v>
      </c>
      <c r="G75">
        <v>0.25</v>
      </c>
      <c r="H75" s="4" t="s">
        <v>1</v>
      </c>
      <c r="I75">
        <v>0.25</v>
      </c>
      <c r="J75" s="4" t="s">
        <v>3</v>
      </c>
      <c r="K75">
        <v>0.25</v>
      </c>
      <c r="L75" s="4" t="s">
        <v>2</v>
      </c>
      <c r="M75">
        <v>0.25</v>
      </c>
    </row>
    <row r="76" ht="13" spans="1:13">
      <c r="A76" s="5">
        <v>1</v>
      </c>
      <c r="B76" s="5">
        <v>1</v>
      </c>
      <c r="C76" s="5">
        <v>1</v>
      </c>
      <c r="D76" s="5">
        <v>1</v>
      </c>
      <c r="E76" s="5">
        <v>4</v>
      </c>
      <c r="F76" s="4" t="s">
        <v>0</v>
      </c>
      <c r="G76">
        <v>0.25</v>
      </c>
      <c r="H76" s="4" t="s">
        <v>1</v>
      </c>
      <c r="I76">
        <v>0.25</v>
      </c>
      <c r="J76" s="4" t="s">
        <v>3</v>
      </c>
      <c r="K76">
        <v>0.25</v>
      </c>
      <c r="L76" s="4" t="s">
        <v>2</v>
      </c>
      <c r="M76">
        <v>0.25</v>
      </c>
    </row>
    <row r="77" ht="13" spans="1:13">
      <c r="A77" s="5">
        <v>3</v>
      </c>
      <c r="B77" s="5">
        <v>3</v>
      </c>
      <c r="C77" s="5">
        <v>3</v>
      </c>
      <c r="D77" s="5">
        <v>3</v>
      </c>
      <c r="E77" s="5">
        <v>4</v>
      </c>
      <c r="F77" s="4" t="s">
        <v>0</v>
      </c>
      <c r="G77">
        <v>0.25</v>
      </c>
      <c r="H77" s="4" t="s">
        <v>1</v>
      </c>
      <c r="I77">
        <v>0.25</v>
      </c>
      <c r="J77" s="4" t="s">
        <v>3</v>
      </c>
      <c r="K77">
        <v>0.25</v>
      </c>
      <c r="L77" s="4" t="s">
        <v>2</v>
      </c>
      <c r="M77">
        <v>0.25</v>
      </c>
    </row>
    <row r="78" ht="13" spans="1:13">
      <c r="A78" s="5">
        <v>0</v>
      </c>
      <c r="B78" s="5">
        <v>0</v>
      </c>
      <c r="C78" s="5">
        <v>0</v>
      </c>
      <c r="D78" s="5">
        <v>0</v>
      </c>
      <c r="E78" s="5">
        <v>4</v>
      </c>
      <c r="F78" s="4" t="s">
        <v>0</v>
      </c>
      <c r="G78">
        <v>0.25</v>
      </c>
      <c r="H78" s="4" t="s">
        <v>1</v>
      </c>
      <c r="I78">
        <v>0.25</v>
      </c>
      <c r="J78" s="4" t="s">
        <v>3</v>
      </c>
      <c r="K78">
        <v>0.25</v>
      </c>
      <c r="L78" s="4" t="s">
        <v>2</v>
      </c>
      <c r="M78">
        <v>0.25</v>
      </c>
    </row>
    <row r="79" ht="13" spans="1:13">
      <c r="A79" s="5">
        <v>1</v>
      </c>
      <c r="B79" s="5">
        <v>1</v>
      </c>
      <c r="C79" s="5">
        <v>1</v>
      </c>
      <c r="D79" s="5">
        <v>1</v>
      </c>
      <c r="E79" s="5">
        <v>4</v>
      </c>
      <c r="F79" s="4" t="s">
        <v>0</v>
      </c>
      <c r="G79">
        <v>0.25</v>
      </c>
      <c r="H79" s="4" t="s">
        <v>1</v>
      </c>
      <c r="I79">
        <v>0.25</v>
      </c>
      <c r="J79" s="4" t="s">
        <v>3</v>
      </c>
      <c r="K79">
        <v>0.25</v>
      </c>
      <c r="L79" s="4" t="s">
        <v>2</v>
      </c>
      <c r="M79">
        <v>0.25</v>
      </c>
    </row>
    <row r="80" ht="13" spans="1:13">
      <c r="A80" s="5">
        <v>3</v>
      </c>
      <c r="B80" s="5">
        <v>3</v>
      </c>
      <c r="C80" s="5">
        <v>3</v>
      </c>
      <c r="D80" s="5">
        <v>3</v>
      </c>
      <c r="E80" s="5">
        <v>4</v>
      </c>
      <c r="F80" s="4" t="s">
        <v>0</v>
      </c>
      <c r="G80">
        <v>0.25</v>
      </c>
      <c r="H80" s="4" t="s">
        <v>1</v>
      </c>
      <c r="I80">
        <v>0.25</v>
      </c>
      <c r="J80" s="4" t="s">
        <v>3</v>
      </c>
      <c r="K80">
        <v>0.25</v>
      </c>
      <c r="L80" s="4" t="s">
        <v>2</v>
      </c>
      <c r="M80">
        <v>0.25</v>
      </c>
    </row>
    <row r="81" ht="13" spans="1:13">
      <c r="A81" s="5">
        <v>3</v>
      </c>
      <c r="B81" s="5">
        <v>3</v>
      </c>
      <c r="C81" s="5">
        <v>3</v>
      </c>
      <c r="D81" s="5">
        <v>3</v>
      </c>
      <c r="E81" s="5">
        <v>4</v>
      </c>
      <c r="F81" s="4" t="s">
        <v>0</v>
      </c>
      <c r="G81">
        <v>0.25</v>
      </c>
      <c r="H81" s="4" t="s">
        <v>1</v>
      </c>
      <c r="I81">
        <v>0.25</v>
      </c>
      <c r="J81" s="4" t="s">
        <v>3</v>
      </c>
      <c r="K81">
        <v>0.25</v>
      </c>
      <c r="L81" s="4" t="s">
        <v>2</v>
      </c>
      <c r="M81">
        <v>0.25</v>
      </c>
    </row>
    <row r="82" ht="13" spans="1:13">
      <c r="A82" s="5">
        <v>1</v>
      </c>
      <c r="B82" s="5">
        <v>1</v>
      </c>
      <c r="C82" s="5">
        <v>1</v>
      </c>
      <c r="D82" s="5">
        <v>1</v>
      </c>
      <c r="E82" s="5">
        <v>4</v>
      </c>
      <c r="F82" s="4" t="s">
        <v>0</v>
      </c>
      <c r="G82">
        <v>0.25</v>
      </c>
      <c r="H82" s="4" t="s">
        <v>1</v>
      </c>
      <c r="I82">
        <v>0.25</v>
      </c>
      <c r="J82" s="4" t="s">
        <v>3</v>
      </c>
      <c r="K82">
        <v>0.25</v>
      </c>
      <c r="L82" s="4" t="s">
        <v>2</v>
      </c>
      <c r="M82">
        <v>0.25</v>
      </c>
    </row>
    <row r="83" ht="13" spans="1:13">
      <c r="A83" s="5">
        <v>3</v>
      </c>
      <c r="B83" s="5">
        <v>3</v>
      </c>
      <c r="C83" s="5">
        <v>3</v>
      </c>
      <c r="D83" s="5">
        <v>3</v>
      </c>
      <c r="E83" s="5">
        <v>4</v>
      </c>
      <c r="F83" s="4" t="s">
        <v>0</v>
      </c>
      <c r="G83">
        <v>0.25</v>
      </c>
      <c r="H83" s="4" t="s">
        <v>1</v>
      </c>
      <c r="I83">
        <v>0.25</v>
      </c>
      <c r="J83" s="4" t="s">
        <v>3</v>
      </c>
      <c r="K83">
        <v>0.25</v>
      </c>
      <c r="L83" s="4" t="s">
        <v>2</v>
      </c>
      <c r="M83">
        <v>0.25</v>
      </c>
    </row>
    <row r="84" ht="13" spans="1:13">
      <c r="A84" s="5">
        <v>3</v>
      </c>
      <c r="B84" s="5">
        <v>3</v>
      </c>
      <c r="C84" s="5">
        <v>3</v>
      </c>
      <c r="D84" s="5">
        <v>3</v>
      </c>
      <c r="E84" s="5">
        <v>4</v>
      </c>
      <c r="F84" s="4" t="s">
        <v>0</v>
      </c>
      <c r="G84">
        <v>0.25</v>
      </c>
      <c r="H84" s="4" t="s">
        <v>1</v>
      </c>
      <c r="I84">
        <v>0.25</v>
      </c>
      <c r="J84" s="4" t="s">
        <v>3</v>
      </c>
      <c r="K84">
        <v>0.25</v>
      </c>
      <c r="L84" s="4" t="s">
        <v>2</v>
      </c>
      <c r="M84">
        <v>0.25</v>
      </c>
    </row>
    <row r="85" ht="13" spans="1:13">
      <c r="A85" s="5">
        <v>0</v>
      </c>
      <c r="B85" s="5">
        <v>0</v>
      </c>
      <c r="C85" s="5">
        <v>0</v>
      </c>
      <c r="D85" s="5">
        <v>0</v>
      </c>
      <c r="E85" s="5">
        <v>4</v>
      </c>
      <c r="F85" s="4" t="s">
        <v>0</v>
      </c>
      <c r="G85">
        <v>0.25</v>
      </c>
      <c r="H85" s="4" t="s">
        <v>1</v>
      </c>
      <c r="I85">
        <v>0.25</v>
      </c>
      <c r="J85" s="4" t="s">
        <v>3</v>
      </c>
      <c r="K85">
        <v>0.25</v>
      </c>
      <c r="L85" s="4" t="s">
        <v>2</v>
      </c>
      <c r="M85">
        <v>0.25</v>
      </c>
    </row>
    <row r="86" ht="13" spans="1:9">
      <c r="A86" s="5">
        <v>2</v>
      </c>
      <c r="B86" s="5">
        <v>2</v>
      </c>
      <c r="C86" s="5">
        <v>1.5</v>
      </c>
      <c r="D86" s="5">
        <v>1</v>
      </c>
      <c r="E86" s="5">
        <v>2</v>
      </c>
      <c r="F86" s="4" t="s">
        <v>0</v>
      </c>
      <c r="G86">
        <v>0.5</v>
      </c>
      <c r="H86" s="4" t="s">
        <v>1</v>
      </c>
      <c r="I86">
        <v>0.5</v>
      </c>
    </row>
    <row r="87" ht="13" spans="1:9">
      <c r="A87" s="5">
        <v>1.5</v>
      </c>
      <c r="B87" s="5">
        <v>1.66666666666667</v>
      </c>
      <c r="C87" s="5">
        <v>1.5</v>
      </c>
      <c r="D87" s="5">
        <v>1.66666666666667</v>
      </c>
      <c r="E87" s="5">
        <v>2</v>
      </c>
      <c r="F87" s="4" t="s">
        <v>1</v>
      </c>
      <c r="G87">
        <v>0.5</v>
      </c>
      <c r="H87" s="4" t="s">
        <v>3</v>
      </c>
      <c r="I87">
        <v>0.5</v>
      </c>
    </row>
    <row r="88" ht="13" spans="1:9">
      <c r="A88" s="5">
        <v>3</v>
      </c>
      <c r="B88" s="5">
        <v>2</v>
      </c>
      <c r="C88" s="5">
        <v>2.5</v>
      </c>
      <c r="D88" s="5">
        <v>3</v>
      </c>
      <c r="E88" s="5">
        <v>2</v>
      </c>
      <c r="F88" s="4" t="s">
        <v>0</v>
      </c>
      <c r="G88">
        <v>0.5</v>
      </c>
      <c r="H88" s="4" t="s">
        <v>3</v>
      </c>
      <c r="I88">
        <v>0.5</v>
      </c>
    </row>
    <row r="89" ht="13" spans="1:9">
      <c r="A89" s="5">
        <v>3</v>
      </c>
      <c r="B89" s="5">
        <v>0</v>
      </c>
      <c r="C89" s="5">
        <v>1.5</v>
      </c>
      <c r="D89" s="5">
        <v>3</v>
      </c>
      <c r="E89" s="5">
        <v>2</v>
      </c>
      <c r="F89" s="4" t="s">
        <v>0</v>
      </c>
      <c r="G89">
        <v>0.5</v>
      </c>
      <c r="H89" s="4" t="s">
        <v>3</v>
      </c>
      <c r="I89">
        <v>0.5</v>
      </c>
    </row>
    <row r="90" ht="13" spans="1:9">
      <c r="A90" s="5">
        <v>0.5</v>
      </c>
      <c r="B90" s="5">
        <v>0.666666666666667</v>
      </c>
      <c r="C90" s="5">
        <v>0</v>
      </c>
      <c r="D90" s="5">
        <v>0.666666666666667</v>
      </c>
      <c r="E90" s="5">
        <v>2</v>
      </c>
      <c r="F90" s="4" t="s">
        <v>1</v>
      </c>
      <c r="G90">
        <v>0.5</v>
      </c>
      <c r="H90" s="4" t="s">
        <v>3</v>
      </c>
      <c r="I90">
        <v>0.5</v>
      </c>
    </row>
    <row r="91" ht="13" spans="1:9">
      <c r="A91" s="5">
        <v>3</v>
      </c>
      <c r="B91" s="5">
        <v>2.33333333333333</v>
      </c>
      <c r="C91" s="5">
        <v>2</v>
      </c>
      <c r="D91" s="5">
        <v>3</v>
      </c>
      <c r="E91" s="5">
        <v>2</v>
      </c>
      <c r="F91" s="4" t="s">
        <v>0</v>
      </c>
      <c r="G91">
        <v>0.5</v>
      </c>
      <c r="H91" s="4" t="s">
        <v>3</v>
      </c>
      <c r="I91">
        <v>0.5</v>
      </c>
    </row>
    <row r="92" ht="13" spans="1:9">
      <c r="A92" s="5">
        <v>2</v>
      </c>
      <c r="B92" s="5">
        <v>1.33333333333333</v>
      </c>
      <c r="C92" s="5">
        <v>1</v>
      </c>
      <c r="D92" s="5">
        <v>2</v>
      </c>
      <c r="E92" s="5">
        <v>2</v>
      </c>
      <c r="F92" s="4" t="s">
        <v>0</v>
      </c>
      <c r="G92">
        <v>0.5</v>
      </c>
      <c r="H92" s="4" t="s">
        <v>3</v>
      </c>
      <c r="I92">
        <v>0.5</v>
      </c>
    </row>
    <row r="93" ht="13" spans="1:9">
      <c r="A93" s="5">
        <v>2</v>
      </c>
      <c r="B93" s="5">
        <v>1</v>
      </c>
      <c r="C93" s="5">
        <v>2</v>
      </c>
      <c r="D93" s="5">
        <v>1.33333333333333</v>
      </c>
      <c r="E93" s="5">
        <v>2</v>
      </c>
      <c r="F93" s="4" t="s">
        <v>0</v>
      </c>
      <c r="G93">
        <v>0.5</v>
      </c>
      <c r="H93" s="4" t="s">
        <v>2</v>
      </c>
      <c r="I93">
        <v>0.5</v>
      </c>
    </row>
    <row r="94" ht="13" spans="1:9">
      <c r="A94" s="5">
        <v>2</v>
      </c>
      <c r="B94" s="5">
        <v>1</v>
      </c>
      <c r="C94" s="5">
        <v>1</v>
      </c>
      <c r="D94" s="5">
        <v>2</v>
      </c>
      <c r="E94" s="5">
        <v>2</v>
      </c>
      <c r="F94" s="4" t="s">
        <v>0</v>
      </c>
      <c r="G94">
        <v>0.5</v>
      </c>
      <c r="H94" s="4" t="s">
        <v>3</v>
      </c>
      <c r="I94">
        <v>0.5</v>
      </c>
    </row>
    <row r="95" ht="13" spans="1:9">
      <c r="A95" s="5">
        <v>1</v>
      </c>
      <c r="B95" s="5">
        <v>0.333333333333333</v>
      </c>
      <c r="C95" s="5">
        <v>2</v>
      </c>
      <c r="D95" s="5">
        <v>2</v>
      </c>
      <c r="E95" s="5">
        <v>2</v>
      </c>
      <c r="F95" s="4" t="s">
        <v>2</v>
      </c>
      <c r="G95">
        <v>0.5</v>
      </c>
      <c r="H95" s="4" t="s">
        <v>3</v>
      </c>
      <c r="I95">
        <v>0.5</v>
      </c>
    </row>
    <row r="96" ht="13" spans="1:9">
      <c r="A96" s="5">
        <v>3</v>
      </c>
      <c r="B96" s="5">
        <v>2.66666666666667</v>
      </c>
      <c r="C96" s="5">
        <v>3</v>
      </c>
      <c r="D96" s="5">
        <v>2.66666666666667</v>
      </c>
      <c r="E96" s="5">
        <v>2</v>
      </c>
      <c r="F96" s="4" t="s">
        <v>0</v>
      </c>
      <c r="G96">
        <v>0.5</v>
      </c>
      <c r="H96" s="4" t="s">
        <v>2</v>
      </c>
      <c r="I96">
        <v>0.5</v>
      </c>
    </row>
    <row r="97" ht="13" spans="1:9">
      <c r="A97" s="5">
        <v>0.5</v>
      </c>
      <c r="B97" s="5">
        <v>0.666666666666667</v>
      </c>
      <c r="C97" s="5">
        <v>1</v>
      </c>
      <c r="D97" s="5">
        <v>1</v>
      </c>
      <c r="E97" s="5">
        <v>2</v>
      </c>
      <c r="F97" s="4" t="s">
        <v>2</v>
      </c>
      <c r="G97">
        <v>0.5</v>
      </c>
      <c r="H97" s="4" t="s">
        <v>3</v>
      </c>
      <c r="I97">
        <v>0.5</v>
      </c>
    </row>
    <row r="98" ht="13" spans="1:9">
      <c r="A98" s="5">
        <v>2.5</v>
      </c>
      <c r="B98" s="5">
        <v>2.33333333333333</v>
      </c>
      <c r="C98" s="5">
        <v>2.5</v>
      </c>
      <c r="D98" s="5">
        <v>2.33333333333333</v>
      </c>
      <c r="E98" s="5">
        <v>2</v>
      </c>
      <c r="F98" s="4" t="s">
        <v>0</v>
      </c>
      <c r="G98">
        <v>0.5</v>
      </c>
      <c r="H98" s="4" t="s">
        <v>2</v>
      </c>
      <c r="I98">
        <v>0.5</v>
      </c>
    </row>
    <row r="99" ht="13" spans="1:9">
      <c r="A99" s="5">
        <v>3</v>
      </c>
      <c r="B99" s="5">
        <v>0</v>
      </c>
      <c r="C99" s="5">
        <v>1.5</v>
      </c>
      <c r="D99" s="5">
        <v>3</v>
      </c>
      <c r="E99" s="5">
        <v>2</v>
      </c>
      <c r="F99" s="4" t="s">
        <v>0</v>
      </c>
      <c r="G99">
        <v>0.5</v>
      </c>
      <c r="H99" s="4" t="s">
        <v>3</v>
      </c>
      <c r="I99">
        <v>0.5</v>
      </c>
    </row>
    <row r="100" ht="13" spans="1:9">
      <c r="A100" s="5">
        <v>3</v>
      </c>
      <c r="B100" s="5">
        <v>1</v>
      </c>
      <c r="C100" s="5">
        <v>3</v>
      </c>
      <c r="D100" s="5">
        <v>2.33333333333333</v>
      </c>
      <c r="E100" s="5">
        <v>2</v>
      </c>
      <c r="F100" s="4" t="s">
        <v>0</v>
      </c>
      <c r="G100">
        <v>0.5</v>
      </c>
      <c r="H100" s="4" t="s">
        <v>2</v>
      </c>
      <c r="I100">
        <v>0.5</v>
      </c>
    </row>
    <row r="101" ht="13" spans="1:9">
      <c r="A101" s="5">
        <v>0.5</v>
      </c>
      <c r="B101" s="5">
        <v>0.666666666666667</v>
      </c>
      <c r="C101" s="5">
        <v>0.5</v>
      </c>
      <c r="D101" s="5">
        <v>0.666666666666667</v>
      </c>
      <c r="E101" s="5">
        <v>2</v>
      </c>
      <c r="F101" s="4" t="s">
        <v>1</v>
      </c>
      <c r="G101">
        <v>0.5</v>
      </c>
      <c r="H101" s="4" t="s">
        <v>3</v>
      </c>
      <c r="I101">
        <v>0.5</v>
      </c>
    </row>
    <row r="102" ht="13" spans="1:9">
      <c r="A102" s="5">
        <v>2</v>
      </c>
      <c r="B102" s="5">
        <v>1</v>
      </c>
      <c r="C102" s="5">
        <v>1</v>
      </c>
      <c r="D102" s="5">
        <v>2</v>
      </c>
      <c r="E102" s="5">
        <v>2</v>
      </c>
      <c r="F102" s="4" t="s">
        <v>0</v>
      </c>
      <c r="G102">
        <v>0.5</v>
      </c>
      <c r="H102" s="4" t="s">
        <v>3</v>
      </c>
      <c r="I102">
        <v>0.5</v>
      </c>
    </row>
    <row r="103" ht="13" spans="1:9">
      <c r="A103" s="5">
        <v>2</v>
      </c>
      <c r="B103" s="5">
        <v>1</v>
      </c>
      <c r="C103" s="5">
        <v>1</v>
      </c>
      <c r="D103" s="5">
        <v>2</v>
      </c>
      <c r="E103" s="5">
        <v>2</v>
      </c>
      <c r="F103" s="4" t="s">
        <v>0</v>
      </c>
      <c r="G103">
        <v>0.5</v>
      </c>
      <c r="H103" s="4" t="s">
        <v>3</v>
      </c>
      <c r="I103">
        <v>0.5</v>
      </c>
    </row>
    <row r="104" ht="13" spans="1:9">
      <c r="A104" s="5">
        <v>1.5</v>
      </c>
      <c r="B104" s="5">
        <v>1.66666666666667</v>
      </c>
      <c r="C104" s="5">
        <v>1.5</v>
      </c>
      <c r="D104" s="5">
        <v>1.66666666666667</v>
      </c>
      <c r="E104" s="5">
        <v>2</v>
      </c>
      <c r="F104" s="4" t="s">
        <v>1</v>
      </c>
      <c r="G104">
        <v>0.5</v>
      </c>
      <c r="H104" s="4" t="s">
        <v>3</v>
      </c>
      <c r="I104">
        <v>0.5</v>
      </c>
    </row>
    <row r="105" ht="13" spans="1:9">
      <c r="A105" s="5">
        <v>1.5</v>
      </c>
      <c r="B105" s="5">
        <v>1.66666666666667</v>
      </c>
      <c r="C105" s="5">
        <v>1</v>
      </c>
      <c r="D105" s="5">
        <v>1.66666666666667</v>
      </c>
      <c r="E105" s="5">
        <v>2</v>
      </c>
      <c r="F105" s="4" t="s">
        <v>1</v>
      </c>
      <c r="G105">
        <v>0.5</v>
      </c>
      <c r="H105" s="4" t="s">
        <v>3</v>
      </c>
      <c r="I105">
        <v>0.5</v>
      </c>
    </row>
    <row r="106" ht="13" spans="1:9">
      <c r="A106" s="5">
        <v>2</v>
      </c>
      <c r="B106" s="5">
        <v>0.666666666666667</v>
      </c>
      <c r="C106" s="5">
        <v>1</v>
      </c>
      <c r="D106" s="5">
        <v>2</v>
      </c>
      <c r="E106" s="5">
        <v>2</v>
      </c>
      <c r="F106" s="4" t="s">
        <v>0</v>
      </c>
      <c r="G106">
        <v>0.5</v>
      </c>
      <c r="H106" s="4" t="s">
        <v>3</v>
      </c>
      <c r="I106">
        <v>0.5</v>
      </c>
    </row>
    <row r="107" ht="13" spans="1:11">
      <c r="A107" s="5">
        <v>3</v>
      </c>
      <c r="B107" s="5">
        <v>2</v>
      </c>
      <c r="C107" s="5">
        <v>3</v>
      </c>
      <c r="D107" s="5">
        <v>3</v>
      </c>
      <c r="E107" s="5">
        <v>3</v>
      </c>
      <c r="F107" s="4" t="s">
        <v>0</v>
      </c>
      <c r="G107">
        <v>0.333</v>
      </c>
      <c r="H107" s="4" t="s">
        <v>2</v>
      </c>
      <c r="I107">
        <v>0.333</v>
      </c>
      <c r="J107" s="4" t="s">
        <v>3</v>
      </c>
      <c r="K107">
        <v>0.333</v>
      </c>
    </row>
    <row r="108" ht="13" spans="1:11">
      <c r="A108" s="5">
        <v>2.5</v>
      </c>
      <c r="B108" s="5">
        <v>3</v>
      </c>
      <c r="C108" s="5">
        <v>3</v>
      </c>
      <c r="D108" s="5">
        <v>3</v>
      </c>
      <c r="E108" s="5">
        <v>3</v>
      </c>
      <c r="F108" s="4" t="s">
        <v>1</v>
      </c>
      <c r="G108">
        <v>0.333</v>
      </c>
      <c r="H108" s="4" t="s">
        <v>2</v>
      </c>
      <c r="I108">
        <v>0.333</v>
      </c>
      <c r="J108" s="4" t="s">
        <v>3</v>
      </c>
      <c r="K108">
        <v>0.333</v>
      </c>
    </row>
    <row r="109" ht="13" spans="1:11">
      <c r="A109" s="5">
        <v>2</v>
      </c>
      <c r="B109" s="5">
        <v>1.33333333333333</v>
      </c>
      <c r="C109" s="5">
        <v>2</v>
      </c>
      <c r="D109" s="5">
        <v>2</v>
      </c>
      <c r="E109" s="5">
        <v>3</v>
      </c>
      <c r="F109" s="4" t="s">
        <v>0</v>
      </c>
      <c r="G109">
        <v>0.333</v>
      </c>
      <c r="H109" s="4" t="s">
        <v>2</v>
      </c>
      <c r="I109">
        <v>0.333</v>
      </c>
      <c r="J109" s="4" t="s">
        <v>3</v>
      </c>
      <c r="K109">
        <v>0.333</v>
      </c>
    </row>
    <row r="110" ht="13" spans="1:11">
      <c r="A110" s="5">
        <v>3</v>
      </c>
      <c r="B110" s="5">
        <v>3</v>
      </c>
      <c r="C110" s="5">
        <v>3</v>
      </c>
      <c r="D110" s="5">
        <v>2.66666666666667</v>
      </c>
      <c r="E110" s="5">
        <v>3</v>
      </c>
      <c r="F110" s="4" t="s">
        <v>0</v>
      </c>
      <c r="G110">
        <v>0.333</v>
      </c>
      <c r="H110" s="4" t="s">
        <v>1</v>
      </c>
      <c r="I110">
        <v>0.333</v>
      </c>
      <c r="J110" s="4" t="s">
        <v>2</v>
      </c>
      <c r="K110">
        <v>0.333</v>
      </c>
    </row>
  </sheetData>
  <sortState ref="A2:G110">
    <sortCondition ref="F2:F110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topLeftCell="A37" workbookViewId="0">
      <selection activeCell="F53" sqref="F53"/>
    </sheetView>
  </sheetViews>
  <sheetFormatPr defaultColWidth="8.72727272727273" defaultRowHeight="12.5"/>
  <cols>
    <col min="1" max="1" width="9.45454545454546" style="5"/>
    <col min="2" max="2" width="14" style="5"/>
    <col min="3" max="3" width="9.45454545454546" style="5"/>
    <col min="4" max="5" width="12.8181818181818" style="5"/>
    <col min="6" max="6" width="9.45454545454546"/>
    <col min="7" max="7" width="16.0909090909091" customWidth="1"/>
    <col min="8" max="9" width="9.45454545454546"/>
    <col min="10" max="13" width="12.8181818181818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ht="13" spans="1:13">
      <c r="A2" s="5">
        <v>1.5</v>
      </c>
      <c r="B2" s="5">
        <v>1.33333333333333</v>
      </c>
      <c r="C2" s="5">
        <v>1</v>
      </c>
      <c r="D2" s="5">
        <v>2</v>
      </c>
      <c r="E2" s="5">
        <v>1</v>
      </c>
      <c r="F2" s="4" t="s">
        <v>3</v>
      </c>
      <c r="G2">
        <v>1</v>
      </c>
      <c r="J2" s="4" t="s">
        <v>3</v>
      </c>
      <c r="K2" s="4" t="s">
        <v>1</v>
      </c>
      <c r="L2" s="4" t="s">
        <v>0</v>
      </c>
      <c r="M2" s="4" t="s">
        <v>2</v>
      </c>
    </row>
    <row r="3" ht="13" spans="1:14">
      <c r="A3" s="5">
        <v>1.5</v>
      </c>
      <c r="B3" s="5">
        <v>1.33333333333333</v>
      </c>
      <c r="C3" s="5">
        <v>1</v>
      </c>
      <c r="D3" s="5">
        <v>2</v>
      </c>
      <c r="E3" s="5">
        <v>1</v>
      </c>
      <c r="F3" s="4" t="s">
        <v>3</v>
      </c>
      <c r="G3">
        <v>1</v>
      </c>
      <c r="J3">
        <v>21.499</v>
      </c>
      <c r="K3">
        <v>15.166</v>
      </c>
      <c r="L3">
        <v>48.999</v>
      </c>
      <c r="M3">
        <v>10.332</v>
      </c>
      <c r="N3">
        <f>SUM(J3:M3)</f>
        <v>95.996</v>
      </c>
    </row>
    <row r="4" ht="13" spans="1:7">
      <c r="A4" s="5">
        <v>1</v>
      </c>
      <c r="B4" s="5">
        <v>1.33333333333333</v>
      </c>
      <c r="C4" s="5">
        <v>1.5</v>
      </c>
      <c r="D4" s="5">
        <v>2</v>
      </c>
      <c r="E4" s="5">
        <v>1</v>
      </c>
      <c r="F4" s="4" t="s">
        <v>3</v>
      </c>
      <c r="G4">
        <v>1</v>
      </c>
    </row>
    <row r="5" ht="13" spans="1:13">
      <c r="A5" s="5">
        <v>0</v>
      </c>
      <c r="B5" s="5">
        <v>0</v>
      </c>
      <c r="C5" s="5">
        <v>2</v>
      </c>
      <c r="D5" s="5">
        <v>2.33333333333333</v>
      </c>
      <c r="E5" s="5">
        <v>1</v>
      </c>
      <c r="F5" s="4" t="s">
        <v>3</v>
      </c>
      <c r="G5">
        <v>1</v>
      </c>
      <c r="J5">
        <f>J3/N3</f>
        <v>0.223957248218676</v>
      </c>
      <c r="K5">
        <f>K3/N3</f>
        <v>0.157985749406225</v>
      </c>
      <c r="L5">
        <f>L3/N3</f>
        <v>0.510427517813242</v>
      </c>
      <c r="M5">
        <f>M3/N3</f>
        <v>0.107629484561857</v>
      </c>
    </row>
    <row r="6" ht="13" spans="1:7">
      <c r="A6" s="5">
        <v>1</v>
      </c>
      <c r="B6" s="5">
        <v>0</v>
      </c>
      <c r="C6" s="5">
        <v>0</v>
      </c>
      <c r="D6" s="5">
        <v>2.66666666666667</v>
      </c>
      <c r="E6" s="5">
        <v>1</v>
      </c>
      <c r="F6" s="4" t="s">
        <v>3</v>
      </c>
      <c r="G6">
        <v>1</v>
      </c>
    </row>
    <row r="7" ht="13" spans="1:7">
      <c r="A7" s="5">
        <v>0</v>
      </c>
      <c r="B7" s="5">
        <v>0.333333333333333</v>
      </c>
      <c r="C7" s="5">
        <v>0</v>
      </c>
      <c r="D7" s="5">
        <v>0.666666666666667</v>
      </c>
      <c r="E7" s="5">
        <v>1</v>
      </c>
      <c r="F7" s="4" t="s">
        <v>3</v>
      </c>
      <c r="G7">
        <v>1</v>
      </c>
    </row>
    <row r="8" ht="13" spans="1:7">
      <c r="A8" s="5">
        <v>1</v>
      </c>
      <c r="B8" s="5">
        <v>1.33333333333333</v>
      </c>
      <c r="C8" s="5">
        <v>1</v>
      </c>
      <c r="D8" s="5">
        <v>1.66666666666667</v>
      </c>
      <c r="E8" s="5">
        <v>1</v>
      </c>
      <c r="F8" s="4" t="s">
        <v>3</v>
      </c>
      <c r="G8">
        <v>1</v>
      </c>
    </row>
    <row r="9" ht="13" spans="1:7">
      <c r="A9" s="5">
        <v>1.5</v>
      </c>
      <c r="B9" s="5">
        <v>-0.333333333333333</v>
      </c>
      <c r="C9" s="5">
        <v>2</v>
      </c>
      <c r="D9" s="5">
        <v>1.66666666666667</v>
      </c>
      <c r="E9" s="5">
        <v>1</v>
      </c>
      <c r="F9" s="4" t="s">
        <v>3</v>
      </c>
      <c r="G9">
        <v>1</v>
      </c>
    </row>
    <row r="10" ht="13" spans="1:7">
      <c r="A10" s="5">
        <v>1.5</v>
      </c>
      <c r="B10" s="5">
        <v>1</v>
      </c>
      <c r="C10" s="5">
        <v>1</v>
      </c>
      <c r="D10" s="5">
        <v>1.66666666666667</v>
      </c>
      <c r="E10" s="5">
        <v>1</v>
      </c>
      <c r="F10" s="4" t="s">
        <v>3</v>
      </c>
      <c r="G10">
        <v>1</v>
      </c>
    </row>
    <row r="11" ht="13" spans="1:7">
      <c r="A11" s="5">
        <v>1</v>
      </c>
      <c r="B11" s="5">
        <v>0</v>
      </c>
      <c r="C11" s="5">
        <v>1</v>
      </c>
      <c r="D11" s="5">
        <v>1.33333333333333</v>
      </c>
      <c r="E11" s="5">
        <v>1</v>
      </c>
      <c r="F11" s="4" t="s">
        <v>3</v>
      </c>
      <c r="G11">
        <v>1</v>
      </c>
    </row>
    <row r="12" ht="13" spans="1:7">
      <c r="A12" s="5">
        <v>0.5</v>
      </c>
      <c r="B12" s="5">
        <v>1</v>
      </c>
      <c r="C12" s="5">
        <v>0.5</v>
      </c>
      <c r="D12" s="5">
        <v>1.33333333333333</v>
      </c>
      <c r="E12" s="5">
        <v>1</v>
      </c>
      <c r="F12" s="4" t="s">
        <v>3</v>
      </c>
      <c r="G12">
        <v>1</v>
      </c>
    </row>
    <row r="13" ht="13" spans="1:7">
      <c r="A13" s="5">
        <v>1.5</v>
      </c>
      <c r="B13" s="5">
        <v>1</v>
      </c>
      <c r="C13" s="5">
        <v>1</v>
      </c>
      <c r="D13" s="5">
        <v>2</v>
      </c>
      <c r="E13" s="5">
        <v>1</v>
      </c>
      <c r="F13" s="4" t="s">
        <v>3</v>
      </c>
      <c r="G13">
        <v>1</v>
      </c>
    </row>
    <row r="14" ht="13" spans="1:7">
      <c r="A14" s="5">
        <v>3</v>
      </c>
      <c r="B14" s="5">
        <v>0</v>
      </c>
      <c r="C14" s="5">
        <v>1.5</v>
      </c>
      <c r="D14" s="5">
        <v>3</v>
      </c>
      <c r="E14" s="5">
        <v>2</v>
      </c>
      <c r="F14" s="4" t="s">
        <v>3</v>
      </c>
      <c r="G14">
        <v>0.5</v>
      </c>
    </row>
    <row r="15" ht="13" spans="1:7">
      <c r="A15" s="5">
        <v>3</v>
      </c>
      <c r="B15" s="5">
        <v>1</v>
      </c>
      <c r="C15" s="5">
        <v>3</v>
      </c>
      <c r="D15" s="5">
        <v>2.33333333333333</v>
      </c>
      <c r="E15" s="5">
        <v>2</v>
      </c>
      <c r="F15" s="4" t="s">
        <v>3</v>
      </c>
      <c r="G15">
        <v>0.5</v>
      </c>
    </row>
    <row r="16" ht="13" spans="1:7">
      <c r="A16" s="5">
        <v>0.5</v>
      </c>
      <c r="B16" s="5">
        <v>0.666666666666667</v>
      </c>
      <c r="C16" s="5">
        <v>0.5</v>
      </c>
      <c r="D16" s="5">
        <v>0.666666666666667</v>
      </c>
      <c r="E16" s="5">
        <v>2</v>
      </c>
      <c r="F16" s="4" t="s">
        <v>3</v>
      </c>
      <c r="G16">
        <v>0.5</v>
      </c>
    </row>
    <row r="17" ht="13" spans="1:7">
      <c r="A17" s="5">
        <v>2</v>
      </c>
      <c r="B17" s="5">
        <v>1</v>
      </c>
      <c r="C17" s="5">
        <v>1</v>
      </c>
      <c r="D17" s="5">
        <v>2</v>
      </c>
      <c r="E17" s="5">
        <v>2</v>
      </c>
      <c r="F17" s="4" t="s">
        <v>3</v>
      </c>
      <c r="G17">
        <v>0.5</v>
      </c>
    </row>
    <row r="18" ht="13" spans="1:7">
      <c r="A18" s="5">
        <v>2</v>
      </c>
      <c r="B18" s="5">
        <v>1</v>
      </c>
      <c r="C18" s="5">
        <v>1</v>
      </c>
      <c r="D18" s="5">
        <v>2</v>
      </c>
      <c r="E18" s="5">
        <v>2</v>
      </c>
      <c r="F18" s="4" t="s">
        <v>3</v>
      </c>
      <c r="G18">
        <v>0.5</v>
      </c>
    </row>
    <row r="19" ht="13" spans="1:7">
      <c r="A19" s="5">
        <v>1.5</v>
      </c>
      <c r="B19" s="5">
        <v>1.66666666666667</v>
      </c>
      <c r="C19" s="5">
        <v>1.5</v>
      </c>
      <c r="D19" s="5">
        <v>1.66666666666667</v>
      </c>
      <c r="E19" s="5">
        <v>2</v>
      </c>
      <c r="F19" s="4" t="s">
        <v>3</v>
      </c>
      <c r="G19">
        <v>0.5</v>
      </c>
    </row>
    <row r="20" ht="13" spans="1:7">
      <c r="A20" s="5">
        <v>2</v>
      </c>
      <c r="B20" s="5">
        <v>0.666666666666667</v>
      </c>
      <c r="C20" s="5">
        <v>1</v>
      </c>
      <c r="D20" s="5">
        <v>2</v>
      </c>
      <c r="E20" s="5">
        <v>2</v>
      </c>
      <c r="F20" s="4" t="s">
        <v>3</v>
      </c>
      <c r="G20">
        <v>0.5</v>
      </c>
    </row>
    <row r="21" ht="13" spans="1:7">
      <c r="A21" s="5">
        <v>3</v>
      </c>
      <c r="B21" s="5">
        <v>2</v>
      </c>
      <c r="C21" s="5">
        <v>3</v>
      </c>
      <c r="D21" s="5">
        <v>3</v>
      </c>
      <c r="E21" s="5">
        <v>3</v>
      </c>
      <c r="F21" s="4" t="s">
        <v>3</v>
      </c>
      <c r="G21">
        <v>0.5</v>
      </c>
    </row>
    <row r="22" ht="13" spans="1:7">
      <c r="A22" s="5">
        <v>2</v>
      </c>
      <c r="B22" s="5">
        <v>1.33333333333333</v>
      </c>
      <c r="C22" s="5">
        <v>2</v>
      </c>
      <c r="D22" s="5">
        <v>2</v>
      </c>
      <c r="E22" s="5">
        <v>3</v>
      </c>
      <c r="F22" s="4" t="s">
        <v>3</v>
      </c>
      <c r="G22">
        <v>0.5</v>
      </c>
    </row>
    <row r="23" ht="13" spans="6:7">
      <c r="F23" s="4" t="s">
        <v>3</v>
      </c>
      <c r="G23">
        <v>0.5</v>
      </c>
    </row>
    <row r="24" ht="13" spans="6:7">
      <c r="F24" s="4" t="s">
        <v>3</v>
      </c>
      <c r="G24">
        <v>0.5</v>
      </c>
    </row>
    <row r="25" ht="13" spans="6:7">
      <c r="F25" s="4" t="s">
        <v>3</v>
      </c>
      <c r="G25">
        <v>0.5</v>
      </c>
    </row>
    <row r="26" ht="13" spans="6:7">
      <c r="F26" s="4" t="s">
        <v>3</v>
      </c>
      <c r="G26">
        <v>0.5</v>
      </c>
    </row>
    <row r="27" ht="13" spans="6:7">
      <c r="F27" s="4" t="s">
        <v>3</v>
      </c>
      <c r="G27">
        <v>0.5</v>
      </c>
    </row>
    <row r="28" ht="13" spans="6:7">
      <c r="F28" s="4" t="s">
        <v>3</v>
      </c>
      <c r="G28">
        <v>0.5</v>
      </c>
    </row>
    <row r="29" ht="13" spans="6:7">
      <c r="F29" s="4" t="s">
        <v>3</v>
      </c>
      <c r="G29">
        <v>0.5</v>
      </c>
    </row>
    <row r="30" ht="13" spans="6:7">
      <c r="F30" s="4" t="s">
        <v>3</v>
      </c>
      <c r="G30">
        <v>0.333</v>
      </c>
    </row>
    <row r="31" ht="13" spans="6:7">
      <c r="F31" s="4" t="s">
        <v>3</v>
      </c>
      <c r="G31">
        <v>0.333</v>
      </c>
    </row>
    <row r="32" ht="13" spans="6:7">
      <c r="F32" s="4" t="s">
        <v>3</v>
      </c>
      <c r="G32">
        <v>0.333</v>
      </c>
    </row>
    <row r="33" ht="13" spans="6:7">
      <c r="F33" s="4" t="s">
        <v>3</v>
      </c>
      <c r="G33">
        <v>0.5</v>
      </c>
    </row>
    <row r="34" ht="13" spans="1:7">
      <c r="A34" s="5">
        <v>1.5</v>
      </c>
      <c r="B34" s="5">
        <v>2</v>
      </c>
      <c r="C34" s="5">
        <v>1</v>
      </c>
      <c r="D34" s="5">
        <v>1.33333333333333</v>
      </c>
      <c r="E34" s="5">
        <v>1</v>
      </c>
      <c r="F34" s="4" t="s">
        <v>1</v>
      </c>
      <c r="G34">
        <v>1</v>
      </c>
    </row>
    <row r="35" ht="13" spans="1:7">
      <c r="A35" s="5">
        <v>1.5</v>
      </c>
      <c r="B35" s="5">
        <v>1.66666666666667</v>
      </c>
      <c r="C35" s="5">
        <v>1</v>
      </c>
      <c r="D35" s="5">
        <v>0.666666666666667</v>
      </c>
      <c r="E35" s="5">
        <v>1</v>
      </c>
      <c r="F35" s="4" t="s">
        <v>1</v>
      </c>
      <c r="G35">
        <v>1</v>
      </c>
    </row>
    <row r="36" ht="13" spans="1:7">
      <c r="A36" s="5">
        <v>1</v>
      </c>
      <c r="B36" s="5">
        <v>2</v>
      </c>
      <c r="C36" s="5">
        <v>1</v>
      </c>
      <c r="D36" s="5">
        <v>1</v>
      </c>
      <c r="E36" s="5">
        <v>1</v>
      </c>
      <c r="F36" s="4" t="s">
        <v>1</v>
      </c>
      <c r="G36">
        <v>1</v>
      </c>
    </row>
    <row r="37" ht="13" spans="1:7">
      <c r="A37" s="5">
        <v>1</v>
      </c>
      <c r="B37" s="5">
        <v>2.33333333333333</v>
      </c>
      <c r="C37" s="5">
        <v>0</v>
      </c>
      <c r="D37" s="5">
        <v>1</v>
      </c>
      <c r="E37" s="5">
        <v>1</v>
      </c>
      <c r="F37" s="4" t="s">
        <v>1</v>
      </c>
      <c r="G37">
        <v>1</v>
      </c>
    </row>
    <row r="38" ht="13" spans="1:7">
      <c r="A38" s="5">
        <v>1.5</v>
      </c>
      <c r="B38" s="5">
        <v>2.33333333333333</v>
      </c>
      <c r="C38" s="5">
        <v>2</v>
      </c>
      <c r="D38" s="5">
        <v>2</v>
      </c>
      <c r="E38" s="5">
        <v>1</v>
      </c>
      <c r="F38" s="4" t="s">
        <v>1</v>
      </c>
      <c r="G38">
        <v>1</v>
      </c>
    </row>
    <row r="39" ht="13" spans="1:7">
      <c r="A39" s="5">
        <v>1.5</v>
      </c>
      <c r="B39" s="5">
        <v>2</v>
      </c>
      <c r="C39" s="5">
        <v>1.5</v>
      </c>
      <c r="D39" s="5">
        <v>1.66666666666667</v>
      </c>
      <c r="E39" s="5">
        <v>1</v>
      </c>
      <c r="F39" s="4" t="s">
        <v>1</v>
      </c>
      <c r="G39">
        <v>1</v>
      </c>
    </row>
    <row r="40" ht="13" spans="1:7">
      <c r="A40" s="5">
        <v>1.5</v>
      </c>
      <c r="B40" s="5">
        <v>1.66666666666667</v>
      </c>
      <c r="C40" s="5">
        <v>1.5</v>
      </c>
      <c r="D40" s="5">
        <v>1.33333333333333</v>
      </c>
      <c r="E40" s="5">
        <v>1</v>
      </c>
      <c r="F40" s="4" t="s">
        <v>1</v>
      </c>
      <c r="G40">
        <v>1</v>
      </c>
    </row>
    <row r="41" ht="13" spans="1:7">
      <c r="A41" s="5">
        <v>1</v>
      </c>
      <c r="B41" s="5">
        <v>1.33333333333333</v>
      </c>
      <c r="C41" s="5">
        <v>0.5</v>
      </c>
      <c r="D41" s="5">
        <v>1</v>
      </c>
      <c r="E41" s="5">
        <v>1</v>
      </c>
      <c r="F41" s="4" t="s">
        <v>1</v>
      </c>
      <c r="G41">
        <v>1</v>
      </c>
    </row>
    <row r="42" ht="13" spans="1:7">
      <c r="A42" s="5">
        <v>1.5</v>
      </c>
      <c r="B42" s="5">
        <v>1.66666666666667</v>
      </c>
      <c r="C42" s="5">
        <v>1.5</v>
      </c>
      <c r="D42" s="5">
        <v>1.33333333333333</v>
      </c>
      <c r="E42" s="5">
        <v>1</v>
      </c>
      <c r="F42" s="4" t="s">
        <v>1</v>
      </c>
      <c r="G42">
        <v>1</v>
      </c>
    </row>
    <row r="43" ht="13" spans="1:7">
      <c r="A43" s="5">
        <v>2.5</v>
      </c>
      <c r="B43" s="5">
        <v>2.66666666666667</v>
      </c>
      <c r="C43" s="5">
        <v>1</v>
      </c>
      <c r="D43" s="5">
        <v>2</v>
      </c>
      <c r="E43" s="5">
        <v>1</v>
      </c>
      <c r="F43" s="4" t="s">
        <v>1</v>
      </c>
      <c r="G43">
        <v>1</v>
      </c>
    </row>
    <row r="44" ht="13" spans="1:7">
      <c r="A44" s="5">
        <v>0</v>
      </c>
      <c r="B44" s="5">
        <v>0.666666666666667</v>
      </c>
      <c r="C44" s="5">
        <v>0</v>
      </c>
      <c r="D44" s="5">
        <v>0.333333333333333</v>
      </c>
      <c r="E44" s="5">
        <v>1</v>
      </c>
      <c r="F44" s="4" t="s">
        <v>1</v>
      </c>
      <c r="G44">
        <v>1</v>
      </c>
    </row>
    <row r="45" ht="13" spans="1:7">
      <c r="A45" s="5">
        <v>0.5</v>
      </c>
      <c r="B45" s="5">
        <v>0.666666666666667</v>
      </c>
      <c r="C45" s="5">
        <v>0</v>
      </c>
      <c r="D45" s="5">
        <v>0.666666666666667</v>
      </c>
      <c r="E45" s="5">
        <v>2</v>
      </c>
      <c r="F45" s="4" t="s">
        <v>1</v>
      </c>
      <c r="G45">
        <v>0.5</v>
      </c>
    </row>
    <row r="46" ht="13" spans="1:7">
      <c r="A46" s="5">
        <v>0</v>
      </c>
      <c r="B46" s="5">
        <v>0</v>
      </c>
      <c r="C46" s="5">
        <v>0</v>
      </c>
      <c r="D46" s="5">
        <v>0</v>
      </c>
      <c r="E46" s="5">
        <v>0</v>
      </c>
      <c r="F46" s="4" t="s">
        <v>1</v>
      </c>
      <c r="G46">
        <v>0.5</v>
      </c>
    </row>
    <row r="47" ht="13" spans="1:7">
      <c r="A47" s="5">
        <v>3</v>
      </c>
      <c r="B47" s="5">
        <v>3</v>
      </c>
      <c r="C47" s="5">
        <v>3</v>
      </c>
      <c r="D47" s="5">
        <v>3</v>
      </c>
      <c r="E47" s="5">
        <v>0</v>
      </c>
      <c r="F47" s="4" t="s">
        <v>1</v>
      </c>
      <c r="G47">
        <v>0.5</v>
      </c>
    </row>
    <row r="48" ht="13" spans="1:7">
      <c r="A48" s="5">
        <v>3</v>
      </c>
      <c r="B48" s="5">
        <v>2</v>
      </c>
      <c r="C48" s="5">
        <v>2.5</v>
      </c>
      <c r="D48" s="5">
        <v>3</v>
      </c>
      <c r="E48" s="5">
        <v>2</v>
      </c>
      <c r="F48" s="4" t="s">
        <v>1</v>
      </c>
      <c r="G48">
        <v>0.5</v>
      </c>
    </row>
    <row r="49" ht="13" spans="1:7">
      <c r="A49" s="5">
        <v>3</v>
      </c>
      <c r="B49" s="5">
        <v>2.33333333333333</v>
      </c>
      <c r="C49" s="5">
        <v>2</v>
      </c>
      <c r="D49" s="5">
        <v>3</v>
      </c>
      <c r="E49" s="5">
        <v>2</v>
      </c>
      <c r="F49" s="4" t="s">
        <v>1</v>
      </c>
      <c r="G49">
        <v>0.5</v>
      </c>
    </row>
    <row r="50" ht="13" spans="1:7">
      <c r="A50" s="5">
        <v>2</v>
      </c>
      <c r="B50" s="5">
        <v>1.33333333333333</v>
      </c>
      <c r="C50" s="5">
        <v>1</v>
      </c>
      <c r="D50" s="5">
        <v>2</v>
      </c>
      <c r="E50" s="5">
        <v>2</v>
      </c>
      <c r="F50" s="4" t="s">
        <v>1</v>
      </c>
      <c r="G50">
        <v>0.5</v>
      </c>
    </row>
    <row r="51" ht="13" spans="1:7">
      <c r="A51" s="5">
        <v>1</v>
      </c>
      <c r="B51" s="5">
        <v>0.333333333333333</v>
      </c>
      <c r="C51" s="5">
        <v>2</v>
      </c>
      <c r="D51" s="5">
        <v>2</v>
      </c>
      <c r="E51" s="5">
        <v>2</v>
      </c>
      <c r="F51" s="4" t="s">
        <v>1</v>
      </c>
      <c r="G51">
        <v>0.333</v>
      </c>
    </row>
    <row r="52" ht="13" spans="1:7">
      <c r="A52" s="5">
        <v>2.5</v>
      </c>
      <c r="B52" s="5">
        <v>2.33333333333333</v>
      </c>
      <c r="C52" s="5">
        <v>2.5</v>
      </c>
      <c r="D52" s="5">
        <v>2.33333333333333</v>
      </c>
      <c r="E52" s="5">
        <v>2</v>
      </c>
      <c r="F52" s="4" t="s">
        <v>1</v>
      </c>
      <c r="G52">
        <v>0.5</v>
      </c>
    </row>
    <row r="53" ht="13" spans="6:7">
      <c r="F53" s="4" t="s">
        <v>1</v>
      </c>
      <c r="G53">
        <v>0.333</v>
      </c>
    </row>
    <row r="54" ht="13" spans="1:7">
      <c r="A54" s="5">
        <v>1</v>
      </c>
      <c r="B54" s="5">
        <v>0.666666666666667</v>
      </c>
      <c r="C54" s="5">
        <v>0.5</v>
      </c>
      <c r="D54" s="5">
        <v>0.333333333333333</v>
      </c>
      <c r="E54" s="5">
        <v>1</v>
      </c>
      <c r="F54" s="4" t="s">
        <v>0</v>
      </c>
      <c r="G54">
        <v>1</v>
      </c>
    </row>
    <row r="55" ht="13" spans="1:7">
      <c r="A55" s="5">
        <v>2</v>
      </c>
      <c r="B55" s="5">
        <v>0.666666666666667</v>
      </c>
      <c r="C55" s="5">
        <v>1.5</v>
      </c>
      <c r="D55" s="5">
        <v>0.666666666666667</v>
      </c>
      <c r="E55" s="5">
        <v>1</v>
      </c>
      <c r="F55" s="4" t="s">
        <v>0</v>
      </c>
      <c r="G55">
        <v>1</v>
      </c>
    </row>
    <row r="56" ht="13" spans="1:7">
      <c r="A56" s="5">
        <v>2</v>
      </c>
      <c r="B56" s="5">
        <v>1.66666666666667</v>
      </c>
      <c r="C56" s="5">
        <v>1.5</v>
      </c>
      <c r="D56" s="5">
        <v>1.66666666666667</v>
      </c>
      <c r="E56" s="5">
        <v>1</v>
      </c>
      <c r="F56" s="4" t="s">
        <v>0</v>
      </c>
      <c r="G56">
        <v>1</v>
      </c>
    </row>
    <row r="57" ht="13" spans="1:7">
      <c r="A57" s="5">
        <v>3</v>
      </c>
      <c r="B57" s="5">
        <v>1</v>
      </c>
      <c r="C57" s="5">
        <v>0</v>
      </c>
      <c r="D57" s="5">
        <v>1.33333333333333</v>
      </c>
      <c r="E57" s="5">
        <v>1</v>
      </c>
      <c r="F57" s="4" t="s">
        <v>0</v>
      </c>
      <c r="G57">
        <v>1</v>
      </c>
    </row>
    <row r="58" ht="13" spans="1:7">
      <c r="A58" s="5">
        <v>3</v>
      </c>
      <c r="B58" s="5">
        <v>1.66666666666667</v>
      </c>
      <c r="C58" s="5">
        <v>1.5</v>
      </c>
      <c r="D58" s="5">
        <v>1.66666666666667</v>
      </c>
      <c r="E58" s="5">
        <v>1</v>
      </c>
      <c r="F58" s="4" t="s">
        <v>0</v>
      </c>
      <c r="G58">
        <v>1</v>
      </c>
    </row>
    <row r="59" ht="13" spans="1:7">
      <c r="A59" s="5">
        <v>1.5</v>
      </c>
      <c r="B59" s="5">
        <v>1</v>
      </c>
      <c r="C59" s="5">
        <v>0</v>
      </c>
      <c r="D59" s="5">
        <v>1.33333333333333</v>
      </c>
      <c r="E59" s="5">
        <v>1</v>
      </c>
      <c r="F59" s="4" t="s">
        <v>0</v>
      </c>
      <c r="G59">
        <v>1</v>
      </c>
    </row>
    <row r="60" ht="13" spans="1:7">
      <c r="A60" s="5">
        <v>2.5</v>
      </c>
      <c r="B60" s="5">
        <v>1.33333333333333</v>
      </c>
      <c r="C60" s="5">
        <v>0</v>
      </c>
      <c r="D60" s="5">
        <v>1.66666666666667</v>
      </c>
      <c r="E60" s="5">
        <v>1</v>
      </c>
      <c r="F60" s="4" t="s">
        <v>0</v>
      </c>
      <c r="G60">
        <v>1</v>
      </c>
    </row>
    <row r="61" ht="13" spans="1:7">
      <c r="A61" s="5">
        <v>2.5</v>
      </c>
      <c r="B61" s="5">
        <v>1.66666666666667</v>
      </c>
      <c r="C61" s="5">
        <v>1.5</v>
      </c>
      <c r="D61" s="5">
        <v>2</v>
      </c>
      <c r="E61" s="5">
        <v>1</v>
      </c>
      <c r="F61" s="4" t="s">
        <v>0</v>
      </c>
      <c r="G61">
        <v>1</v>
      </c>
    </row>
    <row r="62" ht="13" spans="1:7">
      <c r="A62" s="5">
        <v>2.5</v>
      </c>
      <c r="B62" s="5">
        <v>1.66666666666667</v>
      </c>
      <c r="C62" s="5">
        <v>1.5</v>
      </c>
      <c r="D62" s="5">
        <v>2</v>
      </c>
      <c r="E62" s="5">
        <v>1</v>
      </c>
      <c r="F62" s="4" t="s">
        <v>0</v>
      </c>
      <c r="G62">
        <v>1</v>
      </c>
    </row>
    <row r="63" ht="13" spans="1:7">
      <c r="A63" s="5">
        <v>2.5</v>
      </c>
      <c r="B63" s="5">
        <v>2.66666666666667</v>
      </c>
      <c r="C63" s="5">
        <v>1</v>
      </c>
      <c r="D63" s="5">
        <v>1.66666666666667</v>
      </c>
      <c r="E63" s="5">
        <v>1</v>
      </c>
      <c r="F63" s="4" t="s">
        <v>0</v>
      </c>
      <c r="G63">
        <v>1</v>
      </c>
    </row>
    <row r="64" ht="13" spans="1:7">
      <c r="A64" s="5">
        <v>0.5</v>
      </c>
      <c r="B64" s="5">
        <v>0</v>
      </c>
      <c r="C64" s="5">
        <v>0</v>
      </c>
      <c r="D64" s="5">
        <v>0</v>
      </c>
      <c r="E64" s="5">
        <v>1</v>
      </c>
      <c r="F64" s="4" t="s">
        <v>0</v>
      </c>
      <c r="G64">
        <v>1</v>
      </c>
    </row>
    <row r="65" ht="13" spans="1:7">
      <c r="A65" s="5">
        <v>1</v>
      </c>
      <c r="B65" s="5">
        <v>0.333333333333333</v>
      </c>
      <c r="C65" s="5">
        <v>0</v>
      </c>
      <c r="D65" s="5">
        <v>0.333333333333333</v>
      </c>
      <c r="E65" s="5">
        <v>1</v>
      </c>
      <c r="F65" s="4" t="s">
        <v>0</v>
      </c>
      <c r="G65">
        <v>1</v>
      </c>
    </row>
    <row r="66" ht="13" spans="1:7">
      <c r="A66" s="5">
        <v>2</v>
      </c>
      <c r="B66" s="5">
        <v>1</v>
      </c>
      <c r="C66" s="5">
        <v>1</v>
      </c>
      <c r="D66" s="5">
        <v>1.66666666666667</v>
      </c>
      <c r="E66" s="5">
        <v>1</v>
      </c>
      <c r="F66" s="4" t="s">
        <v>0</v>
      </c>
      <c r="G66">
        <v>1</v>
      </c>
    </row>
    <row r="67" ht="13" spans="1:7">
      <c r="A67" s="5">
        <v>2.5</v>
      </c>
      <c r="B67" s="5">
        <v>2</v>
      </c>
      <c r="C67" s="5">
        <v>2</v>
      </c>
      <c r="D67" s="5">
        <v>1.33333333333333</v>
      </c>
      <c r="E67" s="5">
        <v>1</v>
      </c>
      <c r="F67" s="4" t="s">
        <v>0</v>
      </c>
      <c r="G67">
        <v>1</v>
      </c>
    </row>
    <row r="68" ht="13" spans="1:7">
      <c r="A68" s="5">
        <v>3</v>
      </c>
      <c r="B68" s="5">
        <v>1.33333333333333</v>
      </c>
      <c r="C68" s="5">
        <v>2</v>
      </c>
      <c r="D68" s="5">
        <v>2</v>
      </c>
      <c r="E68" s="5">
        <v>1</v>
      </c>
      <c r="F68" s="4" t="s">
        <v>0</v>
      </c>
      <c r="G68">
        <v>1</v>
      </c>
    </row>
    <row r="69" ht="13" spans="1:7">
      <c r="A69" s="5">
        <v>1</v>
      </c>
      <c r="B69" s="5">
        <v>0.333333333333333</v>
      </c>
      <c r="C69" s="5">
        <v>0</v>
      </c>
      <c r="D69" s="5">
        <v>0.666666666666667</v>
      </c>
      <c r="E69" s="5">
        <v>1</v>
      </c>
      <c r="F69" s="4" t="s">
        <v>0</v>
      </c>
      <c r="G69">
        <v>1</v>
      </c>
    </row>
    <row r="70" ht="13" spans="1:7">
      <c r="A70" s="5">
        <v>2</v>
      </c>
      <c r="B70" s="5">
        <v>1.33333333333333</v>
      </c>
      <c r="C70" s="5">
        <v>1</v>
      </c>
      <c r="D70" s="5">
        <v>1.66666666666667</v>
      </c>
      <c r="E70" s="5">
        <v>1</v>
      </c>
      <c r="F70" s="4" t="s">
        <v>0</v>
      </c>
      <c r="G70">
        <v>1</v>
      </c>
    </row>
    <row r="71" ht="13" spans="1:7">
      <c r="A71" s="5">
        <v>2.5</v>
      </c>
      <c r="B71" s="5">
        <v>2.33333333333333</v>
      </c>
      <c r="C71" s="5">
        <v>1</v>
      </c>
      <c r="D71" s="5">
        <v>2.33333333333333</v>
      </c>
      <c r="E71" s="5">
        <v>1</v>
      </c>
      <c r="F71" s="4" t="s">
        <v>0</v>
      </c>
      <c r="G71">
        <v>1</v>
      </c>
    </row>
    <row r="72" ht="13" spans="1:7">
      <c r="A72" s="5">
        <v>3</v>
      </c>
      <c r="B72" s="5">
        <v>1.66666666666667</v>
      </c>
      <c r="C72" s="5">
        <v>1</v>
      </c>
      <c r="D72" s="5">
        <v>1.33333333333333</v>
      </c>
      <c r="E72" s="5">
        <v>1</v>
      </c>
      <c r="F72" s="4" t="s">
        <v>0</v>
      </c>
      <c r="G72">
        <v>1</v>
      </c>
    </row>
    <row r="73" ht="13" spans="1:7">
      <c r="A73" s="5">
        <v>2</v>
      </c>
      <c r="B73" s="5">
        <v>0.666666666666667</v>
      </c>
      <c r="C73" s="5">
        <v>0.5</v>
      </c>
      <c r="D73" s="5">
        <v>0.666666666666667</v>
      </c>
      <c r="E73" s="5">
        <v>1</v>
      </c>
      <c r="F73" s="4" t="s">
        <v>0</v>
      </c>
      <c r="G73">
        <v>1</v>
      </c>
    </row>
    <row r="74" ht="13" spans="1:7">
      <c r="A74" s="5">
        <v>3</v>
      </c>
      <c r="B74" s="5">
        <v>1.66666666666667</v>
      </c>
      <c r="C74" s="5">
        <v>2</v>
      </c>
      <c r="D74" s="5">
        <v>1.66666666666667</v>
      </c>
      <c r="E74" s="5">
        <v>1</v>
      </c>
      <c r="F74" s="4" t="s">
        <v>0</v>
      </c>
      <c r="G74">
        <v>1</v>
      </c>
    </row>
    <row r="75" ht="13" spans="1:7">
      <c r="A75" s="5">
        <v>1</v>
      </c>
      <c r="B75" s="5">
        <v>0.333333333333333</v>
      </c>
      <c r="C75" s="5">
        <v>0</v>
      </c>
      <c r="D75" s="5">
        <v>0</v>
      </c>
      <c r="E75" s="5">
        <v>1</v>
      </c>
      <c r="F75" s="4" t="s">
        <v>0</v>
      </c>
      <c r="G75">
        <v>1</v>
      </c>
    </row>
    <row r="76" ht="13" spans="1:7">
      <c r="A76" s="5">
        <v>1.5</v>
      </c>
      <c r="B76" s="5">
        <v>0.333333333333333</v>
      </c>
      <c r="C76" s="5">
        <v>0</v>
      </c>
      <c r="D76" s="5">
        <v>1</v>
      </c>
      <c r="E76" s="5">
        <v>1</v>
      </c>
      <c r="F76" s="4" t="s">
        <v>0</v>
      </c>
      <c r="G76">
        <v>1</v>
      </c>
    </row>
    <row r="77" ht="13" spans="1:7">
      <c r="A77" s="5">
        <v>2.5</v>
      </c>
      <c r="B77" s="5">
        <v>2</v>
      </c>
      <c r="C77" s="5">
        <v>2</v>
      </c>
      <c r="D77" s="5">
        <v>2</v>
      </c>
      <c r="E77" s="5">
        <v>1</v>
      </c>
      <c r="F77" s="4" t="s">
        <v>0</v>
      </c>
      <c r="G77">
        <v>1</v>
      </c>
    </row>
    <row r="78" ht="13" spans="1:7">
      <c r="A78" s="5">
        <v>2.5</v>
      </c>
      <c r="B78" s="5">
        <v>1</v>
      </c>
      <c r="C78" s="5">
        <v>0.5</v>
      </c>
      <c r="D78" s="5">
        <v>2</v>
      </c>
      <c r="E78" s="5">
        <v>1</v>
      </c>
      <c r="F78" s="4" t="s">
        <v>0</v>
      </c>
      <c r="G78">
        <v>1</v>
      </c>
    </row>
    <row r="79" ht="13" spans="1:7">
      <c r="A79" s="5">
        <v>2</v>
      </c>
      <c r="B79" s="5">
        <v>1</v>
      </c>
      <c r="C79" s="5">
        <v>1.5</v>
      </c>
      <c r="D79" s="5">
        <v>1.33333333333333</v>
      </c>
      <c r="E79" s="5">
        <v>1</v>
      </c>
      <c r="F79" s="4" t="s">
        <v>0</v>
      </c>
      <c r="G79">
        <v>1</v>
      </c>
    </row>
    <row r="80" ht="13" spans="1:7">
      <c r="A80" s="5">
        <v>1</v>
      </c>
      <c r="B80" s="5">
        <v>0.666666666666667</v>
      </c>
      <c r="C80" s="5">
        <v>0.5</v>
      </c>
      <c r="D80" s="5">
        <v>0.666666666666667</v>
      </c>
      <c r="E80" s="5">
        <v>1</v>
      </c>
      <c r="F80" s="4" t="s">
        <v>0</v>
      </c>
      <c r="G80">
        <v>1</v>
      </c>
    </row>
    <row r="81" ht="13" spans="1:7">
      <c r="A81" s="5">
        <v>1.5</v>
      </c>
      <c r="B81" s="5">
        <v>0.666666666666667</v>
      </c>
      <c r="C81" s="5">
        <v>1</v>
      </c>
      <c r="D81" s="5">
        <v>1.33333333333333</v>
      </c>
      <c r="E81" s="5">
        <v>1</v>
      </c>
      <c r="F81" s="4" t="s">
        <v>0</v>
      </c>
      <c r="G81">
        <v>1</v>
      </c>
    </row>
    <row r="82" ht="13" spans="1:7">
      <c r="A82" s="5">
        <v>2</v>
      </c>
      <c r="B82" s="5">
        <v>1.33333333333333</v>
      </c>
      <c r="C82" s="5">
        <v>1</v>
      </c>
      <c r="D82" s="5">
        <v>0</v>
      </c>
      <c r="E82" s="5">
        <v>1</v>
      </c>
      <c r="F82" s="4" t="s">
        <v>0</v>
      </c>
      <c r="G82">
        <v>1</v>
      </c>
    </row>
    <row r="83" ht="13" spans="1:7">
      <c r="A83" s="5">
        <v>2.5</v>
      </c>
      <c r="B83" s="5">
        <v>1.33333333333333</v>
      </c>
      <c r="C83" s="5">
        <v>1.5</v>
      </c>
      <c r="D83" s="5">
        <v>1.66666666666667</v>
      </c>
      <c r="E83" s="5">
        <v>1</v>
      </c>
      <c r="F83" s="4" t="s">
        <v>0</v>
      </c>
      <c r="G83">
        <v>1</v>
      </c>
    </row>
    <row r="84" ht="13" spans="1:7">
      <c r="A84" s="5">
        <v>1.5</v>
      </c>
      <c r="B84" s="5">
        <v>1.33333333333333</v>
      </c>
      <c r="C84" s="5">
        <v>0</v>
      </c>
      <c r="D84" s="5">
        <v>0</v>
      </c>
      <c r="E84" s="5">
        <v>1</v>
      </c>
      <c r="F84" s="4" t="s">
        <v>0</v>
      </c>
      <c r="G84">
        <v>1</v>
      </c>
    </row>
    <row r="85" ht="13" spans="1:7">
      <c r="A85" s="5">
        <v>0.5</v>
      </c>
      <c r="B85" s="5">
        <v>0</v>
      </c>
      <c r="C85" s="5">
        <v>0</v>
      </c>
      <c r="D85" s="5">
        <v>0</v>
      </c>
      <c r="E85" s="5">
        <v>1</v>
      </c>
      <c r="F85" s="4" t="s">
        <v>0</v>
      </c>
      <c r="G85">
        <v>1</v>
      </c>
    </row>
    <row r="86" ht="13" spans="1:7">
      <c r="A86" s="5">
        <v>1</v>
      </c>
      <c r="B86" s="5">
        <v>0.666666666666667</v>
      </c>
      <c r="C86" s="5">
        <v>0.5</v>
      </c>
      <c r="D86" s="5">
        <v>0.666666666666667</v>
      </c>
      <c r="E86" s="5">
        <v>1</v>
      </c>
      <c r="F86" s="4" t="s">
        <v>0</v>
      </c>
      <c r="G86">
        <v>1</v>
      </c>
    </row>
    <row r="87" ht="13" spans="1:7">
      <c r="A87" s="5">
        <v>1.5</v>
      </c>
      <c r="B87" s="5">
        <v>1</v>
      </c>
      <c r="C87" s="5">
        <v>1</v>
      </c>
      <c r="D87" s="5">
        <v>1</v>
      </c>
      <c r="E87" s="5">
        <v>1</v>
      </c>
      <c r="F87" s="4" t="s">
        <v>0</v>
      </c>
      <c r="G87">
        <v>1</v>
      </c>
    </row>
    <row r="88" ht="13" spans="1:7">
      <c r="A88" s="5">
        <v>1.5</v>
      </c>
      <c r="B88" s="5">
        <v>1</v>
      </c>
      <c r="C88" s="5">
        <v>1</v>
      </c>
      <c r="D88" s="5">
        <v>1</v>
      </c>
      <c r="E88" s="5">
        <v>1</v>
      </c>
      <c r="F88" s="4" t="s">
        <v>0</v>
      </c>
      <c r="G88">
        <v>1</v>
      </c>
    </row>
    <row r="89" ht="13" spans="1:7">
      <c r="A89" s="5">
        <v>3</v>
      </c>
      <c r="B89" s="5">
        <v>1</v>
      </c>
      <c r="C89" s="5">
        <v>1</v>
      </c>
      <c r="D89" s="5">
        <v>1.66666666666667</v>
      </c>
      <c r="E89" s="5">
        <v>1</v>
      </c>
      <c r="F89" s="4" t="s">
        <v>0</v>
      </c>
      <c r="G89">
        <v>1</v>
      </c>
    </row>
    <row r="90" ht="13" spans="1:7">
      <c r="A90" s="5">
        <v>3</v>
      </c>
      <c r="B90" s="5">
        <v>1</v>
      </c>
      <c r="C90" s="5">
        <v>1.5</v>
      </c>
      <c r="D90" s="5">
        <v>2.66666666666667</v>
      </c>
      <c r="E90" s="5">
        <v>1</v>
      </c>
      <c r="F90" s="4" t="s">
        <v>0</v>
      </c>
      <c r="G90">
        <v>1</v>
      </c>
    </row>
    <row r="91" ht="13" spans="1:7">
      <c r="A91" s="5">
        <v>2.5</v>
      </c>
      <c r="B91" s="5">
        <v>1</v>
      </c>
      <c r="C91" s="5">
        <v>2</v>
      </c>
      <c r="D91" s="5">
        <v>2</v>
      </c>
      <c r="E91" s="5">
        <v>1</v>
      </c>
      <c r="F91" s="4" t="s">
        <v>0</v>
      </c>
      <c r="G91">
        <v>1</v>
      </c>
    </row>
    <row r="92" ht="13" spans="1:7">
      <c r="A92" s="5">
        <v>2.5</v>
      </c>
      <c r="B92" s="5">
        <v>1</v>
      </c>
      <c r="C92" s="5">
        <v>1</v>
      </c>
      <c r="D92" s="5">
        <v>1.33333333333333</v>
      </c>
      <c r="E92" s="5">
        <v>1</v>
      </c>
      <c r="F92" s="4" t="s">
        <v>0</v>
      </c>
      <c r="G92">
        <v>1</v>
      </c>
    </row>
    <row r="93" ht="13" spans="1:7">
      <c r="A93" s="5">
        <v>3</v>
      </c>
      <c r="B93" s="5">
        <v>1.66666666666667</v>
      </c>
      <c r="C93" s="5">
        <v>0</v>
      </c>
      <c r="D93" s="5">
        <v>1.33333333333333</v>
      </c>
      <c r="E93" s="5">
        <v>1</v>
      </c>
      <c r="F93" s="4" t="s">
        <v>0</v>
      </c>
      <c r="G93">
        <v>1</v>
      </c>
    </row>
    <row r="94" ht="13" spans="1:7">
      <c r="A94" s="5">
        <v>3</v>
      </c>
      <c r="B94" s="5">
        <v>2.33333333333333</v>
      </c>
      <c r="C94" s="5">
        <v>2.5</v>
      </c>
      <c r="D94" s="5">
        <v>2.33333333333333</v>
      </c>
      <c r="E94" s="5">
        <v>1</v>
      </c>
      <c r="F94" s="4" t="s">
        <v>0</v>
      </c>
      <c r="G94">
        <v>1</v>
      </c>
    </row>
    <row r="95" ht="13" spans="1:7">
      <c r="A95" s="5">
        <v>1</v>
      </c>
      <c r="B95" s="5">
        <v>1</v>
      </c>
      <c r="C95" s="5">
        <v>1</v>
      </c>
      <c r="D95" s="5">
        <v>1</v>
      </c>
      <c r="E95" s="5">
        <v>0</v>
      </c>
      <c r="F95" s="4" t="s">
        <v>0</v>
      </c>
      <c r="G95">
        <v>0.5</v>
      </c>
    </row>
    <row r="96" ht="13" spans="1:7">
      <c r="A96" s="5">
        <v>2</v>
      </c>
      <c r="B96" s="5">
        <v>2</v>
      </c>
      <c r="C96" s="5">
        <v>2</v>
      </c>
      <c r="D96" s="5">
        <v>2</v>
      </c>
      <c r="E96" s="5">
        <v>0</v>
      </c>
      <c r="F96" s="4" t="s">
        <v>0</v>
      </c>
      <c r="G96">
        <v>0.5</v>
      </c>
    </row>
    <row r="97" ht="13" spans="1:7">
      <c r="A97" s="5">
        <v>1</v>
      </c>
      <c r="B97" s="5">
        <v>1</v>
      </c>
      <c r="C97" s="5">
        <v>1</v>
      </c>
      <c r="D97" s="5">
        <v>1</v>
      </c>
      <c r="E97" s="5">
        <v>0</v>
      </c>
      <c r="F97" s="4" t="s">
        <v>0</v>
      </c>
      <c r="G97">
        <v>0.5</v>
      </c>
    </row>
    <row r="98" ht="13" spans="1:7">
      <c r="A98" s="5">
        <v>0</v>
      </c>
      <c r="B98" s="5">
        <v>0</v>
      </c>
      <c r="C98" s="5">
        <v>0</v>
      </c>
      <c r="D98" s="5">
        <v>0</v>
      </c>
      <c r="E98" s="5">
        <v>0</v>
      </c>
      <c r="F98" s="4" t="s">
        <v>0</v>
      </c>
      <c r="G98">
        <v>0.5</v>
      </c>
    </row>
    <row r="99" ht="13" spans="1:7">
      <c r="A99" s="5">
        <v>1</v>
      </c>
      <c r="B99" s="5">
        <v>1</v>
      </c>
      <c r="C99" s="5">
        <v>1</v>
      </c>
      <c r="D99" s="5">
        <v>1</v>
      </c>
      <c r="E99" s="5">
        <v>0</v>
      </c>
      <c r="F99" s="4" t="s">
        <v>0</v>
      </c>
      <c r="G99">
        <v>0.5</v>
      </c>
    </row>
    <row r="100" ht="13" spans="1:7">
      <c r="A100" s="5">
        <v>3</v>
      </c>
      <c r="B100" s="5">
        <v>3</v>
      </c>
      <c r="C100" s="5">
        <v>3</v>
      </c>
      <c r="D100" s="5">
        <v>3</v>
      </c>
      <c r="E100" s="5">
        <v>0</v>
      </c>
      <c r="F100" s="4" t="s">
        <v>0</v>
      </c>
      <c r="G100">
        <v>0.5</v>
      </c>
    </row>
    <row r="101" ht="13" spans="1:7">
      <c r="A101" s="5">
        <v>3</v>
      </c>
      <c r="B101" s="5">
        <v>3</v>
      </c>
      <c r="C101" s="5">
        <v>3</v>
      </c>
      <c r="D101" s="5">
        <v>3</v>
      </c>
      <c r="E101" s="5">
        <v>0</v>
      </c>
      <c r="F101" s="4" t="s">
        <v>0</v>
      </c>
      <c r="G101">
        <v>0.5</v>
      </c>
    </row>
    <row r="102" ht="13" spans="1:7">
      <c r="A102" s="5">
        <v>3</v>
      </c>
      <c r="B102" s="5">
        <v>3</v>
      </c>
      <c r="C102" s="5">
        <v>3</v>
      </c>
      <c r="D102" s="5">
        <v>3</v>
      </c>
      <c r="E102" s="5">
        <v>0</v>
      </c>
      <c r="F102" s="4" t="s">
        <v>0</v>
      </c>
      <c r="G102">
        <v>0.5</v>
      </c>
    </row>
    <row r="103" ht="13" spans="1:7">
      <c r="A103" s="5">
        <v>0</v>
      </c>
      <c r="B103" s="5">
        <v>0</v>
      </c>
      <c r="C103" s="5">
        <v>0</v>
      </c>
      <c r="D103" s="5">
        <v>0</v>
      </c>
      <c r="E103" s="5">
        <v>0</v>
      </c>
      <c r="F103" s="4" t="s">
        <v>0</v>
      </c>
      <c r="G103">
        <v>0.5</v>
      </c>
    </row>
    <row r="104" ht="13" spans="1:7">
      <c r="A104" s="5">
        <v>2</v>
      </c>
      <c r="B104" s="5">
        <v>2</v>
      </c>
      <c r="C104" s="5">
        <v>1.5</v>
      </c>
      <c r="D104" s="5">
        <v>1</v>
      </c>
      <c r="E104" s="5">
        <v>2</v>
      </c>
      <c r="F104" s="4" t="s">
        <v>0</v>
      </c>
      <c r="G104">
        <v>0.5</v>
      </c>
    </row>
    <row r="105" ht="13" spans="1:7">
      <c r="A105" s="5">
        <v>1.5</v>
      </c>
      <c r="B105" s="5">
        <v>1.66666666666667</v>
      </c>
      <c r="C105" s="5">
        <v>1.5</v>
      </c>
      <c r="D105" s="5">
        <v>1.66666666666667</v>
      </c>
      <c r="E105" s="5">
        <v>2</v>
      </c>
      <c r="F105" s="4" t="s">
        <v>0</v>
      </c>
      <c r="G105">
        <v>0.5</v>
      </c>
    </row>
    <row r="106" ht="13" spans="1:7">
      <c r="A106" s="5">
        <v>3</v>
      </c>
      <c r="B106" s="5">
        <v>0</v>
      </c>
      <c r="C106" s="5">
        <v>1.5</v>
      </c>
      <c r="D106" s="5">
        <v>3</v>
      </c>
      <c r="E106" s="5">
        <v>2</v>
      </c>
      <c r="F106" s="4" t="s">
        <v>0</v>
      </c>
      <c r="G106">
        <v>0.5</v>
      </c>
    </row>
    <row r="107" ht="13" spans="1:7">
      <c r="A107" s="5">
        <v>0.5</v>
      </c>
      <c r="B107" s="5">
        <v>0.666666666666667</v>
      </c>
      <c r="C107" s="5">
        <v>0</v>
      </c>
      <c r="D107" s="5">
        <v>0.666666666666667</v>
      </c>
      <c r="E107" s="5">
        <v>2</v>
      </c>
      <c r="F107" s="4" t="s">
        <v>0</v>
      </c>
      <c r="G107">
        <v>0.5</v>
      </c>
    </row>
    <row r="108" ht="13" spans="1:7">
      <c r="A108" s="5">
        <v>2</v>
      </c>
      <c r="B108" s="5">
        <v>1</v>
      </c>
      <c r="C108" s="5">
        <v>2</v>
      </c>
      <c r="D108" s="5">
        <v>1.33333333333333</v>
      </c>
      <c r="E108" s="5">
        <v>2</v>
      </c>
      <c r="F108" s="4" t="s">
        <v>0</v>
      </c>
      <c r="G108">
        <v>0.5</v>
      </c>
    </row>
    <row r="109" ht="13" spans="1:7">
      <c r="A109" s="5">
        <v>2</v>
      </c>
      <c r="B109" s="5">
        <v>1</v>
      </c>
      <c r="C109" s="5">
        <v>1</v>
      </c>
      <c r="D109" s="5">
        <v>2</v>
      </c>
      <c r="E109" s="5">
        <v>2</v>
      </c>
      <c r="F109" s="4" t="s">
        <v>0</v>
      </c>
      <c r="G109">
        <v>0.333</v>
      </c>
    </row>
    <row r="110" ht="13" spans="1:7">
      <c r="A110" s="5">
        <v>3</v>
      </c>
      <c r="B110" s="5">
        <v>2.66666666666667</v>
      </c>
      <c r="C110" s="5">
        <v>3</v>
      </c>
      <c r="D110" s="5">
        <v>2.66666666666667</v>
      </c>
      <c r="E110" s="5">
        <v>2</v>
      </c>
      <c r="F110" s="4" t="s">
        <v>0</v>
      </c>
      <c r="G110">
        <v>0.333</v>
      </c>
    </row>
    <row r="111" ht="13" spans="1:7">
      <c r="A111" s="5">
        <v>0.5</v>
      </c>
      <c r="B111" s="5">
        <v>0.666666666666667</v>
      </c>
      <c r="C111" s="5">
        <v>1</v>
      </c>
      <c r="D111" s="5">
        <v>1</v>
      </c>
      <c r="E111" s="5">
        <v>2</v>
      </c>
      <c r="F111" s="4" t="s">
        <v>0</v>
      </c>
      <c r="G111">
        <v>0.333</v>
      </c>
    </row>
    <row r="112" ht="13" spans="1:7">
      <c r="A112" s="5">
        <v>0.5</v>
      </c>
      <c r="B112" s="5">
        <v>0.666666666666667</v>
      </c>
      <c r="C112" s="5">
        <v>1</v>
      </c>
      <c r="D112" s="5">
        <v>0.666666666666667</v>
      </c>
      <c r="E112" s="5">
        <v>1</v>
      </c>
      <c r="F112" s="4" t="s">
        <v>2</v>
      </c>
      <c r="G112">
        <v>1</v>
      </c>
    </row>
    <row r="113" ht="13" spans="1:7">
      <c r="A113" s="5">
        <v>2</v>
      </c>
      <c r="B113" s="5">
        <v>2</v>
      </c>
      <c r="C113" s="5">
        <v>3</v>
      </c>
      <c r="D113" s="5">
        <v>1.66666666666667</v>
      </c>
      <c r="E113" s="5">
        <v>1</v>
      </c>
      <c r="F113" s="4" t="s">
        <v>2</v>
      </c>
      <c r="G113">
        <v>1</v>
      </c>
    </row>
    <row r="114" ht="13" spans="1:7">
      <c r="A114" s="5">
        <v>1.5</v>
      </c>
      <c r="B114" s="5">
        <v>2</v>
      </c>
      <c r="C114" s="5">
        <v>2.5</v>
      </c>
      <c r="D114" s="5">
        <v>1.66666666666667</v>
      </c>
      <c r="E114" s="5">
        <v>1</v>
      </c>
      <c r="F114" s="4" t="s">
        <v>2</v>
      </c>
      <c r="G114">
        <v>1</v>
      </c>
    </row>
    <row r="115" ht="13" spans="1:7">
      <c r="A115" s="5">
        <v>1</v>
      </c>
      <c r="B115" s="5">
        <v>1.33333333333333</v>
      </c>
      <c r="C115" s="5">
        <v>1.5</v>
      </c>
      <c r="D115" s="5">
        <v>1.33333333333333</v>
      </c>
      <c r="E115" s="5">
        <v>1</v>
      </c>
      <c r="F115" s="4" t="s">
        <v>2</v>
      </c>
      <c r="G115">
        <v>1</v>
      </c>
    </row>
    <row r="116" ht="13" spans="1:7">
      <c r="A116" s="5">
        <v>0</v>
      </c>
      <c r="B116" s="5">
        <v>1</v>
      </c>
      <c r="C116" s="5">
        <v>1.5</v>
      </c>
      <c r="D116" s="5">
        <v>1</v>
      </c>
      <c r="E116" s="5">
        <v>1</v>
      </c>
      <c r="F116" s="4" t="s">
        <v>2</v>
      </c>
      <c r="G116">
        <v>1</v>
      </c>
    </row>
    <row r="117" ht="13" spans="1:7">
      <c r="A117" s="5">
        <v>2</v>
      </c>
      <c r="B117" s="5">
        <v>1</v>
      </c>
      <c r="C117" s="5">
        <v>2.5</v>
      </c>
      <c r="D117" s="5">
        <v>1.66666666666667</v>
      </c>
      <c r="E117" s="5">
        <v>1</v>
      </c>
      <c r="F117" s="4" t="s">
        <v>2</v>
      </c>
      <c r="G117">
        <v>1</v>
      </c>
    </row>
    <row r="118" ht="13" spans="1:7">
      <c r="A118" s="5">
        <v>1</v>
      </c>
      <c r="B118" s="5">
        <v>1</v>
      </c>
      <c r="C118" s="5">
        <v>1</v>
      </c>
      <c r="D118" s="5">
        <v>1</v>
      </c>
      <c r="E118" s="5">
        <v>0</v>
      </c>
      <c r="F118" s="4" t="s">
        <v>2</v>
      </c>
      <c r="G118">
        <v>0.5</v>
      </c>
    </row>
    <row r="119" ht="13" spans="1:7">
      <c r="A119" s="5">
        <v>3</v>
      </c>
      <c r="B119" s="5">
        <v>3</v>
      </c>
      <c r="C119" s="5">
        <v>3</v>
      </c>
      <c r="D119" s="5">
        <v>3</v>
      </c>
      <c r="E119" s="5">
        <v>0</v>
      </c>
      <c r="F119" s="4" t="s">
        <v>2</v>
      </c>
      <c r="G119">
        <v>0.5</v>
      </c>
    </row>
    <row r="120" ht="13" spans="1:7">
      <c r="A120" s="5">
        <v>1.5</v>
      </c>
      <c r="B120" s="5">
        <v>1.66666666666667</v>
      </c>
      <c r="C120" s="5">
        <v>1</v>
      </c>
      <c r="D120" s="5">
        <v>1.66666666666667</v>
      </c>
      <c r="E120" s="5">
        <v>2</v>
      </c>
      <c r="F120" s="4" t="s">
        <v>2</v>
      </c>
      <c r="G120">
        <v>0.5</v>
      </c>
    </row>
    <row r="121" ht="13" spans="1:7">
      <c r="A121" s="5">
        <v>2.5</v>
      </c>
      <c r="B121" s="5">
        <v>3</v>
      </c>
      <c r="C121" s="5">
        <v>3</v>
      </c>
      <c r="D121" s="5">
        <v>3</v>
      </c>
      <c r="E121" s="5">
        <v>3</v>
      </c>
      <c r="F121" s="4" t="s">
        <v>2</v>
      </c>
      <c r="G121">
        <v>0.5</v>
      </c>
    </row>
    <row r="122" ht="13" spans="1:7">
      <c r="A122" s="5">
        <v>3</v>
      </c>
      <c r="B122" s="5">
        <v>3</v>
      </c>
      <c r="C122" s="5">
        <v>3</v>
      </c>
      <c r="D122" s="5">
        <v>2.66666666666667</v>
      </c>
      <c r="E122" s="5">
        <v>3</v>
      </c>
      <c r="F122" s="4" t="s">
        <v>2</v>
      </c>
      <c r="G122">
        <v>0.5</v>
      </c>
    </row>
    <row r="123" ht="13" spans="6:7">
      <c r="F123" s="4" t="s">
        <v>2</v>
      </c>
      <c r="G123">
        <v>0.5</v>
      </c>
    </row>
    <row r="124" ht="13" spans="6:7">
      <c r="F124" s="4" t="s">
        <v>2</v>
      </c>
      <c r="G124">
        <v>0.333</v>
      </c>
    </row>
    <row r="125" ht="13" spans="6:7">
      <c r="F125" s="4" t="s">
        <v>2</v>
      </c>
      <c r="G125">
        <v>0.333</v>
      </c>
    </row>
    <row r="126" ht="13" spans="6:7">
      <c r="F126" s="4" t="s">
        <v>2</v>
      </c>
      <c r="G126">
        <v>0.333</v>
      </c>
    </row>
    <row r="127" ht="13" spans="6:7">
      <c r="F127" s="4" t="s">
        <v>2</v>
      </c>
      <c r="G127">
        <v>0.333</v>
      </c>
    </row>
  </sheetData>
  <sortState ref="A2:G127">
    <sortCondition ref="F2:F127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79"/>
  <sheetViews>
    <sheetView workbookViewId="0">
      <selection activeCell="H5" sqref="H5"/>
    </sheetView>
  </sheetViews>
  <sheetFormatPr defaultColWidth="8.72727272727273" defaultRowHeight="12.5"/>
  <cols>
    <col min="1" max="1" width="9.45454545454546"/>
    <col min="2" max="2" width="16.0909090909091" customWidth="1"/>
    <col min="3" max="4" width="9.45454545454546"/>
    <col min="5" max="8" width="12.8181818181818"/>
  </cols>
  <sheetData>
    <row r="2" ht="13" spans="1:8">
      <c r="A2" s="4" t="s">
        <v>3</v>
      </c>
      <c r="B2">
        <v>1</v>
      </c>
      <c r="E2" s="4" t="s">
        <v>3</v>
      </c>
      <c r="F2" s="4" t="s">
        <v>1</v>
      </c>
      <c r="G2" s="4" t="s">
        <v>0</v>
      </c>
      <c r="H2" s="4" t="s">
        <v>2</v>
      </c>
    </row>
    <row r="3" ht="13" spans="1:9">
      <c r="A3" s="4" t="s">
        <v>3</v>
      </c>
      <c r="B3">
        <v>1</v>
      </c>
      <c r="E3">
        <v>24.749</v>
      </c>
      <c r="F3">
        <v>18.416</v>
      </c>
      <c r="G3">
        <v>52.249</v>
      </c>
      <c r="H3">
        <v>13.582</v>
      </c>
      <c r="I3">
        <f>SUM(E3:H3)</f>
        <v>108.996</v>
      </c>
    </row>
    <row r="4" ht="13" spans="1:8">
      <c r="A4" s="4" t="s">
        <v>3</v>
      </c>
      <c r="B4">
        <v>1</v>
      </c>
      <c r="E4">
        <f>E3/I3</f>
        <v>0.227063378472604</v>
      </c>
      <c r="F4">
        <f>F3/I3</f>
        <v>0.168960328819406</v>
      </c>
      <c r="G4">
        <f>G3/I3</f>
        <v>0.479366215273955</v>
      </c>
      <c r="H4">
        <f>H3/I3</f>
        <v>0.124610077434034</v>
      </c>
    </row>
    <row r="5" ht="13" spans="1:2">
      <c r="A5" s="4" t="s">
        <v>3</v>
      </c>
      <c r="B5">
        <v>1</v>
      </c>
    </row>
    <row r="6" ht="13" spans="1:2">
      <c r="A6" s="4" t="s">
        <v>3</v>
      </c>
      <c r="B6">
        <v>1</v>
      </c>
    </row>
    <row r="7" ht="13" spans="1:2">
      <c r="A7" s="4" t="s">
        <v>3</v>
      </c>
      <c r="B7">
        <v>1</v>
      </c>
    </row>
    <row r="8" ht="13" spans="1:2">
      <c r="A8" s="4" t="s">
        <v>3</v>
      </c>
      <c r="B8">
        <v>1</v>
      </c>
    </row>
    <row r="9" ht="13" spans="1:2">
      <c r="A9" s="4" t="s">
        <v>3</v>
      </c>
      <c r="B9">
        <v>1</v>
      </c>
    </row>
    <row r="10" ht="13" spans="1:2">
      <c r="A10" s="4" t="s">
        <v>3</v>
      </c>
      <c r="B10">
        <v>1</v>
      </c>
    </row>
    <row r="11" ht="13" spans="1:2">
      <c r="A11" s="4" t="s">
        <v>3</v>
      </c>
      <c r="B11">
        <v>1</v>
      </c>
    </row>
    <row r="12" ht="13" spans="1:2">
      <c r="A12" s="4" t="s">
        <v>3</v>
      </c>
      <c r="B12">
        <v>1</v>
      </c>
    </row>
    <row r="13" ht="13" spans="1:2">
      <c r="A13" s="4" t="s">
        <v>3</v>
      </c>
      <c r="B13">
        <v>1</v>
      </c>
    </row>
    <row r="14" ht="13" spans="1:2">
      <c r="A14" s="4" t="s">
        <v>3</v>
      </c>
      <c r="B14">
        <v>0.333</v>
      </c>
    </row>
    <row r="15" ht="13" spans="1:2">
      <c r="A15" s="4" t="s">
        <v>3</v>
      </c>
      <c r="B15">
        <v>0.333</v>
      </c>
    </row>
    <row r="16" ht="13" spans="1:2">
      <c r="A16" s="4" t="s">
        <v>3</v>
      </c>
      <c r="B16">
        <v>0.333</v>
      </c>
    </row>
    <row r="17" ht="13" spans="1:2">
      <c r="A17" s="4" t="s">
        <v>3</v>
      </c>
      <c r="B17">
        <v>0.5</v>
      </c>
    </row>
    <row r="18" ht="13" spans="1:2">
      <c r="A18" s="4" t="s">
        <v>3</v>
      </c>
      <c r="B18">
        <v>0.5</v>
      </c>
    </row>
    <row r="19" ht="13" spans="1:2">
      <c r="A19" s="4" t="s">
        <v>3</v>
      </c>
      <c r="B19">
        <v>0.5</v>
      </c>
    </row>
    <row r="20" ht="13" spans="1:2">
      <c r="A20" s="4" t="s">
        <v>3</v>
      </c>
      <c r="B20">
        <v>0.5</v>
      </c>
    </row>
    <row r="21" ht="13" spans="1:2">
      <c r="A21" s="4" t="s">
        <v>3</v>
      </c>
      <c r="B21">
        <v>0.5</v>
      </c>
    </row>
    <row r="22" ht="13" spans="1:2">
      <c r="A22" s="4" t="s">
        <v>3</v>
      </c>
      <c r="B22">
        <v>0.5</v>
      </c>
    </row>
    <row r="23" ht="13" spans="1:2">
      <c r="A23" s="4" t="s">
        <v>3</v>
      </c>
      <c r="B23">
        <v>0.5</v>
      </c>
    </row>
    <row r="24" ht="13" spans="1:2">
      <c r="A24" s="4" t="s">
        <v>3</v>
      </c>
      <c r="B24">
        <v>0.5</v>
      </c>
    </row>
    <row r="25" ht="13" spans="1:2">
      <c r="A25" s="4" t="s">
        <v>3</v>
      </c>
      <c r="B25">
        <v>0.5</v>
      </c>
    </row>
    <row r="26" ht="13" spans="1:2">
      <c r="A26" s="4" t="s">
        <v>3</v>
      </c>
      <c r="B26">
        <v>0.5</v>
      </c>
    </row>
    <row r="27" ht="13" spans="1:2">
      <c r="A27" s="4" t="s">
        <v>3</v>
      </c>
      <c r="B27">
        <v>0.5</v>
      </c>
    </row>
    <row r="28" ht="13" spans="1:2">
      <c r="A28" s="4" t="s">
        <v>3</v>
      </c>
      <c r="B28">
        <v>0.5</v>
      </c>
    </row>
    <row r="29" ht="13" spans="1:2">
      <c r="A29" s="4" t="s">
        <v>3</v>
      </c>
      <c r="B29">
        <v>0.5</v>
      </c>
    </row>
    <row r="30" ht="13" spans="1:2">
      <c r="A30" s="4" t="s">
        <v>3</v>
      </c>
      <c r="B30">
        <v>0.5</v>
      </c>
    </row>
    <row r="31" ht="13" spans="1:2">
      <c r="A31" s="4" t="s">
        <v>3</v>
      </c>
      <c r="B31">
        <v>0.5</v>
      </c>
    </row>
    <row r="32" ht="13" spans="1:2">
      <c r="A32" s="4" t="s">
        <v>3</v>
      </c>
      <c r="B32">
        <v>0.5</v>
      </c>
    </row>
    <row r="33" ht="13" spans="1:2">
      <c r="A33" s="4" t="s">
        <v>3</v>
      </c>
      <c r="B33">
        <v>0.5</v>
      </c>
    </row>
    <row r="34" ht="13" spans="1:2">
      <c r="A34" s="4" t="s">
        <v>3</v>
      </c>
      <c r="B34">
        <v>0.25</v>
      </c>
    </row>
    <row r="35" ht="13" spans="1:2">
      <c r="A35" s="4" t="s">
        <v>3</v>
      </c>
      <c r="B35">
        <v>0.25</v>
      </c>
    </row>
    <row r="36" ht="13" spans="1:2">
      <c r="A36" s="4" t="s">
        <v>3</v>
      </c>
      <c r="B36">
        <v>0.25</v>
      </c>
    </row>
    <row r="37" ht="13" spans="1:2">
      <c r="A37" s="4" t="s">
        <v>3</v>
      </c>
      <c r="B37">
        <v>0.25</v>
      </c>
    </row>
    <row r="38" ht="13" spans="1:2">
      <c r="A38" s="4" t="s">
        <v>3</v>
      </c>
      <c r="B38">
        <v>0.25</v>
      </c>
    </row>
    <row r="39" ht="13" spans="1:2">
      <c r="A39" s="4" t="s">
        <v>3</v>
      </c>
      <c r="B39">
        <v>0.25</v>
      </c>
    </row>
    <row r="40" ht="13" spans="1:2">
      <c r="A40" s="4" t="s">
        <v>3</v>
      </c>
      <c r="B40">
        <v>0.25</v>
      </c>
    </row>
    <row r="41" ht="13" spans="1:2">
      <c r="A41" s="4" t="s">
        <v>3</v>
      </c>
      <c r="B41">
        <v>0.25</v>
      </c>
    </row>
    <row r="42" ht="13" spans="1:2">
      <c r="A42" s="4" t="s">
        <v>3</v>
      </c>
      <c r="B42">
        <v>0.25</v>
      </c>
    </row>
    <row r="43" ht="13" spans="1:2">
      <c r="A43" s="4" t="s">
        <v>3</v>
      </c>
      <c r="B43">
        <v>0.25</v>
      </c>
    </row>
    <row r="44" ht="13" spans="1:2">
      <c r="A44" s="4" t="s">
        <v>3</v>
      </c>
      <c r="B44">
        <v>0.25</v>
      </c>
    </row>
    <row r="45" ht="13" spans="1:2">
      <c r="A45" s="4" t="s">
        <v>3</v>
      </c>
      <c r="B45">
        <v>0.25</v>
      </c>
    </row>
    <row r="46" ht="13" spans="1:2">
      <c r="A46" s="4" t="s">
        <v>3</v>
      </c>
      <c r="B46">
        <v>0.25</v>
      </c>
    </row>
    <row r="47" ht="13" spans="1:2">
      <c r="A47" s="4" t="s">
        <v>1</v>
      </c>
      <c r="B47">
        <v>1</v>
      </c>
    </row>
    <row r="48" ht="13" spans="1:2">
      <c r="A48" s="4" t="s">
        <v>1</v>
      </c>
      <c r="B48">
        <v>1</v>
      </c>
    </row>
    <row r="49" ht="13" spans="1:2">
      <c r="A49" s="4" t="s">
        <v>1</v>
      </c>
      <c r="B49">
        <v>1</v>
      </c>
    </row>
    <row r="50" ht="13" spans="1:2">
      <c r="A50" s="4" t="s">
        <v>1</v>
      </c>
      <c r="B50">
        <v>1</v>
      </c>
    </row>
    <row r="51" ht="13" spans="1:2">
      <c r="A51" s="4" t="s">
        <v>1</v>
      </c>
      <c r="B51">
        <v>1</v>
      </c>
    </row>
    <row r="52" ht="13" spans="1:2">
      <c r="A52" s="4" t="s">
        <v>1</v>
      </c>
      <c r="B52">
        <v>1</v>
      </c>
    </row>
    <row r="53" ht="13" spans="1:2">
      <c r="A53" s="4" t="s">
        <v>1</v>
      </c>
      <c r="B53">
        <v>1</v>
      </c>
    </row>
    <row r="54" ht="13" spans="1:2">
      <c r="A54" s="4" t="s">
        <v>1</v>
      </c>
      <c r="B54">
        <v>1</v>
      </c>
    </row>
    <row r="55" ht="13" spans="1:2">
      <c r="A55" s="4" t="s">
        <v>1</v>
      </c>
      <c r="B55">
        <v>1</v>
      </c>
    </row>
    <row r="56" ht="13" spans="1:2">
      <c r="A56" s="4" t="s">
        <v>1</v>
      </c>
      <c r="B56">
        <v>1</v>
      </c>
    </row>
    <row r="57" ht="13" spans="1:2">
      <c r="A57" s="4" t="s">
        <v>1</v>
      </c>
      <c r="B57">
        <v>1</v>
      </c>
    </row>
    <row r="58" ht="13" spans="1:2">
      <c r="A58" s="4" t="s">
        <v>1</v>
      </c>
      <c r="B58">
        <v>0.5</v>
      </c>
    </row>
    <row r="59" ht="13" spans="1:2">
      <c r="A59" s="4" t="s">
        <v>1</v>
      </c>
      <c r="B59">
        <v>0.5</v>
      </c>
    </row>
    <row r="60" ht="13" spans="1:2">
      <c r="A60" s="4" t="s">
        <v>1</v>
      </c>
      <c r="B60">
        <v>0.5</v>
      </c>
    </row>
    <row r="61" ht="13" spans="1:2">
      <c r="A61" s="4" t="s">
        <v>1</v>
      </c>
      <c r="B61">
        <v>0.5</v>
      </c>
    </row>
    <row r="62" ht="13" spans="1:2">
      <c r="A62" s="4" t="s">
        <v>1</v>
      </c>
      <c r="B62">
        <v>0.5</v>
      </c>
    </row>
    <row r="63" ht="13" spans="1:2">
      <c r="A63" s="4" t="s">
        <v>1</v>
      </c>
      <c r="B63">
        <v>0.5</v>
      </c>
    </row>
    <row r="64" ht="13" spans="1:2">
      <c r="A64" s="4" t="s">
        <v>1</v>
      </c>
      <c r="B64">
        <v>0.333</v>
      </c>
    </row>
    <row r="65" ht="13" spans="1:2">
      <c r="A65" s="4" t="s">
        <v>1</v>
      </c>
      <c r="B65">
        <v>0.25</v>
      </c>
    </row>
    <row r="66" ht="13" spans="1:2">
      <c r="A66" s="4" t="s">
        <v>1</v>
      </c>
      <c r="B66">
        <v>0.25</v>
      </c>
    </row>
    <row r="67" ht="13" spans="1:2">
      <c r="A67" s="4" t="s">
        <v>1</v>
      </c>
      <c r="B67">
        <v>0.25</v>
      </c>
    </row>
    <row r="68" ht="13" spans="1:2">
      <c r="A68" s="4" t="s">
        <v>1</v>
      </c>
      <c r="B68">
        <v>0.25</v>
      </c>
    </row>
    <row r="69" ht="13" spans="1:2">
      <c r="A69" s="4" t="s">
        <v>1</v>
      </c>
      <c r="B69">
        <v>0.25</v>
      </c>
    </row>
    <row r="70" ht="13" spans="1:2">
      <c r="A70" s="4" t="s">
        <v>1</v>
      </c>
      <c r="B70">
        <v>0.25</v>
      </c>
    </row>
    <row r="71" ht="13" spans="1:2">
      <c r="A71" s="4" t="s">
        <v>1</v>
      </c>
      <c r="B71">
        <v>0.25</v>
      </c>
    </row>
    <row r="72" ht="13" spans="1:2">
      <c r="A72" s="4" t="s">
        <v>1</v>
      </c>
      <c r="B72">
        <v>0.25</v>
      </c>
    </row>
    <row r="73" ht="13" spans="1:2">
      <c r="A73" s="4" t="s">
        <v>1</v>
      </c>
      <c r="B73">
        <v>0.25</v>
      </c>
    </row>
    <row r="74" ht="13" spans="1:2">
      <c r="A74" s="4" t="s">
        <v>1</v>
      </c>
      <c r="B74">
        <v>0.25</v>
      </c>
    </row>
    <row r="75" ht="13" spans="1:2">
      <c r="A75" s="4" t="s">
        <v>1</v>
      </c>
      <c r="B75">
        <v>0.25</v>
      </c>
    </row>
    <row r="76" ht="13" spans="1:2">
      <c r="A76" s="4" t="s">
        <v>1</v>
      </c>
      <c r="B76">
        <v>0.25</v>
      </c>
    </row>
    <row r="77" ht="13" spans="1:2">
      <c r="A77" s="4" t="s">
        <v>1</v>
      </c>
      <c r="B77">
        <v>0.25</v>
      </c>
    </row>
    <row r="78" ht="13" spans="1:2">
      <c r="A78" s="4" t="s">
        <v>1</v>
      </c>
      <c r="B78">
        <v>0.5</v>
      </c>
    </row>
    <row r="79" ht="13" spans="1:2">
      <c r="A79" s="4" t="s">
        <v>1</v>
      </c>
      <c r="B79">
        <v>0.333</v>
      </c>
    </row>
    <row r="80" ht="13" spans="1:2">
      <c r="A80" s="4" t="s">
        <v>0</v>
      </c>
      <c r="B80">
        <v>1</v>
      </c>
    </row>
    <row r="81" ht="13" spans="1:2">
      <c r="A81" s="4" t="s">
        <v>0</v>
      </c>
      <c r="B81">
        <v>1</v>
      </c>
    </row>
    <row r="82" ht="13" spans="1:2">
      <c r="A82" s="4" t="s">
        <v>0</v>
      </c>
      <c r="B82">
        <v>1</v>
      </c>
    </row>
    <row r="83" ht="13" spans="1:2">
      <c r="A83" s="4" t="s">
        <v>0</v>
      </c>
      <c r="B83">
        <v>1</v>
      </c>
    </row>
    <row r="84" ht="13" spans="1:2">
      <c r="A84" s="4" t="s">
        <v>0</v>
      </c>
      <c r="B84">
        <v>1</v>
      </c>
    </row>
    <row r="85" ht="13" spans="1:2">
      <c r="A85" s="4" t="s">
        <v>0</v>
      </c>
      <c r="B85">
        <v>1</v>
      </c>
    </row>
    <row r="86" ht="13" spans="1:2">
      <c r="A86" s="4" t="s">
        <v>0</v>
      </c>
      <c r="B86">
        <v>1</v>
      </c>
    </row>
    <row r="87" ht="13" spans="1:2">
      <c r="A87" s="4" t="s">
        <v>0</v>
      </c>
      <c r="B87">
        <v>1</v>
      </c>
    </row>
    <row r="88" ht="13" spans="1:2">
      <c r="A88" s="4" t="s">
        <v>0</v>
      </c>
      <c r="B88">
        <v>1</v>
      </c>
    </row>
    <row r="89" ht="13" spans="1:2">
      <c r="A89" s="4" t="s">
        <v>0</v>
      </c>
      <c r="B89">
        <v>1</v>
      </c>
    </row>
    <row r="90" ht="13" spans="1:2">
      <c r="A90" s="4" t="s">
        <v>0</v>
      </c>
      <c r="B90">
        <v>1</v>
      </c>
    </row>
    <row r="91" ht="13" spans="1:2">
      <c r="A91" s="4" t="s">
        <v>0</v>
      </c>
      <c r="B91">
        <v>1</v>
      </c>
    </row>
    <row r="92" ht="13" spans="1:2">
      <c r="A92" s="4" t="s">
        <v>0</v>
      </c>
      <c r="B92">
        <v>1</v>
      </c>
    </row>
    <row r="93" ht="13" spans="1:2">
      <c r="A93" s="4" t="s">
        <v>0</v>
      </c>
      <c r="B93">
        <v>1</v>
      </c>
    </row>
    <row r="94" ht="13" spans="1:2">
      <c r="A94" s="4" t="s">
        <v>0</v>
      </c>
      <c r="B94">
        <v>1</v>
      </c>
    </row>
    <row r="95" ht="13" spans="1:2">
      <c r="A95" s="4" t="s">
        <v>0</v>
      </c>
      <c r="B95">
        <v>1</v>
      </c>
    </row>
    <row r="96" ht="13" spans="1:2">
      <c r="A96" s="4" t="s">
        <v>0</v>
      </c>
      <c r="B96">
        <v>1</v>
      </c>
    </row>
    <row r="97" ht="13" spans="1:2">
      <c r="A97" s="4" t="s">
        <v>0</v>
      </c>
      <c r="B97">
        <v>1</v>
      </c>
    </row>
    <row r="98" ht="13" spans="1:2">
      <c r="A98" s="4" t="s">
        <v>0</v>
      </c>
      <c r="B98">
        <v>1</v>
      </c>
    </row>
    <row r="99" ht="13" spans="1:2">
      <c r="A99" s="4" t="s">
        <v>0</v>
      </c>
      <c r="B99">
        <v>1</v>
      </c>
    </row>
    <row r="100" ht="13" spans="1:2">
      <c r="A100" s="4" t="s">
        <v>0</v>
      </c>
      <c r="B100">
        <v>1</v>
      </c>
    </row>
    <row r="101" ht="13" spans="1:2">
      <c r="A101" s="4" t="s">
        <v>0</v>
      </c>
      <c r="B101">
        <v>1</v>
      </c>
    </row>
    <row r="102" ht="13" spans="1:2">
      <c r="A102" s="4" t="s">
        <v>0</v>
      </c>
      <c r="B102">
        <v>1</v>
      </c>
    </row>
    <row r="103" ht="13" spans="1:2">
      <c r="A103" s="4" t="s">
        <v>0</v>
      </c>
      <c r="B103">
        <v>1</v>
      </c>
    </row>
    <row r="104" ht="13" spans="1:2">
      <c r="A104" s="4" t="s">
        <v>0</v>
      </c>
      <c r="B104">
        <v>1</v>
      </c>
    </row>
    <row r="105" ht="13" spans="1:2">
      <c r="A105" s="4" t="s">
        <v>0</v>
      </c>
      <c r="B105">
        <v>1</v>
      </c>
    </row>
    <row r="106" ht="13" spans="1:2">
      <c r="A106" s="4" t="s">
        <v>0</v>
      </c>
      <c r="B106">
        <v>1</v>
      </c>
    </row>
    <row r="107" ht="13" spans="1:2">
      <c r="A107" s="4" t="s">
        <v>0</v>
      </c>
      <c r="B107">
        <v>1</v>
      </c>
    </row>
    <row r="108" ht="13" spans="1:2">
      <c r="A108" s="4" t="s">
        <v>0</v>
      </c>
      <c r="B108">
        <v>1</v>
      </c>
    </row>
    <row r="109" ht="13" spans="1:2">
      <c r="A109" s="4" t="s">
        <v>0</v>
      </c>
      <c r="B109">
        <v>1</v>
      </c>
    </row>
    <row r="110" ht="13" spans="1:2">
      <c r="A110" s="4" t="s">
        <v>0</v>
      </c>
      <c r="B110">
        <v>1</v>
      </c>
    </row>
    <row r="111" ht="13" spans="1:2">
      <c r="A111" s="4" t="s">
        <v>0</v>
      </c>
      <c r="B111">
        <v>1</v>
      </c>
    </row>
    <row r="112" ht="13" spans="1:2">
      <c r="A112" s="4" t="s">
        <v>0</v>
      </c>
      <c r="B112">
        <v>1</v>
      </c>
    </row>
    <row r="113" ht="13" spans="1:2">
      <c r="A113" s="4" t="s">
        <v>0</v>
      </c>
      <c r="B113">
        <v>1</v>
      </c>
    </row>
    <row r="114" ht="13" spans="1:2">
      <c r="A114" s="4" t="s">
        <v>0</v>
      </c>
      <c r="B114">
        <v>1</v>
      </c>
    </row>
    <row r="115" ht="13" spans="1:2">
      <c r="A115" s="4" t="s">
        <v>0</v>
      </c>
      <c r="B115">
        <v>1</v>
      </c>
    </row>
    <row r="116" ht="13" spans="1:2">
      <c r="A116" s="4" t="s">
        <v>0</v>
      </c>
      <c r="B116">
        <v>1</v>
      </c>
    </row>
    <row r="117" ht="13" spans="1:2">
      <c r="A117" s="4" t="s">
        <v>0</v>
      </c>
      <c r="B117">
        <v>1</v>
      </c>
    </row>
    <row r="118" ht="13" spans="1:2">
      <c r="A118" s="4" t="s">
        <v>0</v>
      </c>
      <c r="B118">
        <v>1</v>
      </c>
    </row>
    <row r="119" ht="13" spans="1:2">
      <c r="A119" s="4" t="s">
        <v>0</v>
      </c>
      <c r="B119">
        <v>1</v>
      </c>
    </row>
    <row r="120" ht="13" spans="1:2">
      <c r="A120" s="4" t="s">
        <v>0</v>
      </c>
      <c r="B120">
        <v>1</v>
      </c>
    </row>
    <row r="121" ht="13" spans="1:2">
      <c r="A121" s="4" t="s">
        <v>0</v>
      </c>
      <c r="B121">
        <v>0.25</v>
      </c>
    </row>
    <row r="122" ht="13" spans="1:2">
      <c r="A122" s="4" t="s">
        <v>0</v>
      </c>
      <c r="B122">
        <v>0.25</v>
      </c>
    </row>
    <row r="123" ht="13" spans="1:2">
      <c r="A123" s="4" t="s">
        <v>0</v>
      </c>
      <c r="B123">
        <v>0.25</v>
      </c>
    </row>
    <row r="124" ht="13" spans="1:2">
      <c r="A124" s="4" t="s">
        <v>0</v>
      </c>
      <c r="B124">
        <v>0.25</v>
      </c>
    </row>
    <row r="125" ht="13" spans="1:2">
      <c r="A125" s="4" t="s">
        <v>0</v>
      </c>
      <c r="B125">
        <v>0.25</v>
      </c>
    </row>
    <row r="126" ht="13" spans="1:2">
      <c r="A126" s="4" t="s">
        <v>0</v>
      </c>
      <c r="B126">
        <v>0.25</v>
      </c>
    </row>
    <row r="127" ht="13" spans="1:2">
      <c r="A127" s="4" t="s">
        <v>0</v>
      </c>
      <c r="B127">
        <v>0.25</v>
      </c>
    </row>
    <row r="128" ht="13" spans="1:2">
      <c r="A128" s="4" t="s">
        <v>0</v>
      </c>
      <c r="B128">
        <v>0.25</v>
      </c>
    </row>
    <row r="129" ht="13" spans="1:2">
      <c r="A129" s="4" t="s">
        <v>0</v>
      </c>
      <c r="B129">
        <v>0.25</v>
      </c>
    </row>
    <row r="130" ht="13" spans="1:2">
      <c r="A130" s="4" t="s">
        <v>0</v>
      </c>
      <c r="B130">
        <v>0.25</v>
      </c>
    </row>
    <row r="131" ht="13" spans="1:2">
      <c r="A131" s="4" t="s">
        <v>0</v>
      </c>
      <c r="B131">
        <v>0.25</v>
      </c>
    </row>
    <row r="132" ht="13" spans="1:2">
      <c r="A132" s="4" t="s">
        <v>0</v>
      </c>
      <c r="B132">
        <v>0.25</v>
      </c>
    </row>
    <row r="133" ht="13" spans="1:2">
      <c r="A133" s="4" t="s">
        <v>0</v>
      </c>
      <c r="B133">
        <v>0.25</v>
      </c>
    </row>
    <row r="134" ht="13" spans="1:2">
      <c r="A134" s="4" t="s">
        <v>0</v>
      </c>
      <c r="B134">
        <v>0.5</v>
      </c>
    </row>
    <row r="135" ht="13" spans="1:2">
      <c r="A135" s="4" t="s">
        <v>0</v>
      </c>
      <c r="B135">
        <v>0.5</v>
      </c>
    </row>
    <row r="136" ht="13" spans="1:2">
      <c r="A136" s="4" t="s">
        <v>0</v>
      </c>
      <c r="B136">
        <v>0.5</v>
      </c>
    </row>
    <row r="137" ht="13" spans="1:2">
      <c r="A137" s="4" t="s">
        <v>0</v>
      </c>
      <c r="B137">
        <v>0.5</v>
      </c>
    </row>
    <row r="138" ht="13" spans="1:2">
      <c r="A138" s="4" t="s">
        <v>0</v>
      </c>
      <c r="B138">
        <v>0.5</v>
      </c>
    </row>
    <row r="139" ht="13" spans="1:2">
      <c r="A139" s="4" t="s">
        <v>0</v>
      </c>
      <c r="B139">
        <v>0.5</v>
      </c>
    </row>
    <row r="140" ht="13" spans="1:2">
      <c r="A140" s="4" t="s">
        <v>0</v>
      </c>
      <c r="B140">
        <v>0.5</v>
      </c>
    </row>
    <row r="141" ht="13" spans="1:2">
      <c r="A141" s="4" t="s">
        <v>0</v>
      </c>
      <c r="B141">
        <v>0.5</v>
      </c>
    </row>
    <row r="142" ht="13" spans="1:2">
      <c r="A142" s="4" t="s">
        <v>0</v>
      </c>
      <c r="B142">
        <v>0.5</v>
      </c>
    </row>
    <row r="143" ht="13" spans="1:2">
      <c r="A143" s="4" t="s">
        <v>0</v>
      </c>
      <c r="B143">
        <v>0.5</v>
      </c>
    </row>
    <row r="144" ht="13" spans="1:2">
      <c r="A144" s="4" t="s">
        <v>0</v>
      </c>
      <c r="B144">
        <v>0.5</v>
      </c>
    </row>
    <row r="145" ht="13" spans="1:2">
      <c r="A145" s="4" t="s">
        <v>0</v>
      </c>
      <c r="B145">
        <v>0.5</v>
      </c>
    </row>
    <row r="146" ht="13" spans="1:2">
      <c r="A146" s="4" t="s">
        <v>0</v>
      </c>
      <c r="B146">
        <v>0.5</v>
      </c>
    </row>
    <row r="147" ht="13" spans="1:2">
      <c r="A147" s="4" t="s">
        <v>0</v>
      </c>
      <c r="B147">
        <v>0.5</v>
      </c>
    </row>
    <row r="148" ht="13" spans="1:2">
      <c r="A148" s="4" t="s">
        <v>0</v>
      </c>
      <c r="B148">
        <v>0.333</v>
      </c>
    </row>
    <row r="149" ht="13" spans="1:2">
      <c r="A149" s="4" t="s">
        <v>0</v>
      </c>
      <c r="B149">
        <v>0.333</v>
      </c>
    </row>
    <row r="150" ht="13" spans="1:2">
      <c r="A150" s="4" t="s">
        <v>0</v>
      </c>
      <c r="B150">
        <v>0.333</v>
      </c>
    </row>
    <row r="151" ht="13" spans="1:2">
      <c r="A151" s="4" t="s">
        <v>2</v>
      </c>
      <c r="B151">
        <v>1</v>
      </c>
    </row>
    <row r="152" ht="13" spans="1:2">
      <c r="A152" s="4" t="s">
        <v>2</v>
      </c>
      <c r="B152">
        <v>1</v>
      </c>
    </row>
    <row r="153" ht="13" spans="1:2">
      <c r="A153" s="4" t="s">
        <v>2</v>
      </c>
      <c r="B153">
        <v>1</v>
      </c>
    </row>
    <row r="154" ht="13" spans="1:2">
      <c r="A154" s="4" t="s">
        <v>2</v>
      </c>
      <c r="B154">
        <v>1</v>
      </c>
    </row>
    <row r="155" ht="13" spans="1:2">
      <c r="A155" s="4" t="s">
        <v>2</v>
      </c>
      <c r="B155">
        <v>1</v>
      </c>
    </row>
    <row r="156" ht="13" spans="1:2">
      <c r="A156" s="4" t="s">
        <v>2</v>
      </c>
      <c r="B156">
        <v>1</v>
      </c>
    </row>
    <row r="157" ht="13" spans="1:2">
      <c r="A157" s="4" t="s">
        <v>2</v>
      </c>
      <c r="B157">
        <v>0.5</v>
      </c>
    </row>
    <row r="158" ht="13" spans="1:2">
      <c r="A158" s="4" t="s">
        <v>2</v>
      </c>
      <c r="B158">
        <v>0.5</v>
      </c>
    </row>
    <row r="159" ht="13" spans="1:2">
      <c r="A159" s="4" t="s">
        <v>2</v>
      </c>
      <c r="B159">
        <v>0.333</v>
      </c>
    </row>
    <row r="160" ht="13" spans="1:2">
      <c r="A160" s="4" t="s">
        <v>2</v>
      </c>
      <c r="B160">
        <v>0.5</v>
      </c>
    </row>
    <row r="161" ht="13" spans="1:2">
      <c r="A161" s="4" t="s">
        <v>2</v>
      </c>
      <c r="B161">
        <v>0.5</v>
      </c>
    </row>
    <row r="162" ht="13" spans="1:2">
      <c r="A162" s="4" t="s">
        <v>2</v>
      </c>
      <c r="B162">
        <v>0.5</v>
      </c>
    </row>
    <row r="163" ht="13" spans="1:2">
      <c r="A163" s="4" t="s">
        <v>2</v>
      </c>
      <c r="B163">
        <v>0.5</v>
      </c>
    </row>
    <row r="164" ht="13" spans="1:2">
      <c r="A164" s="4" t="s">
        <v>2</v>
      </c>
      <c r="B164">
        <v>0.333</v>
      </c>
    </row>
    <row r="165" ht="13" spans="1:2">
      <c r="A165" s="4" t="s">
        <v>2</v>
      </c>
      <c r="B165">
        <v>0.333</v>
      </c>
    </row>
    <row r="166" ht="13" spans="1:2">
      <c r="A166" s="4" t="s">
        <v>2</v>
      </c>
      <c r="B166">
        <v>0.333</v>
      </c>
    </row>
    <row r="167" ht="13" spans="1:2">
      <c r="A167" s="4" t="s">
        <v>2</v>
      </c>
      <c r="B167">
        <v>0.25</v>
      </c>
    </row>
    <row r="168" ht="13" spans="1:2">
      <c r="A168" s="4" t="s">
        <v>2</v>
      </c>
      <c r="B168">
        <v>0.25</v>
      </c>
    </row>
    <row r="169" ht="13" spans="1:2">
      <c r="A169" s="4" t="s">
        <v>2</v>
      </c>
      <c r="B169">
        <v>0.25</v>
      </c>
    </row>
    <row r="170" ht="13" spans="1:2">
      <c r="A170" s="4" t="s">
        <v>2</v>
      </c>
      <c r="B170">
        <v>0.25</v>
      </c>
    </row>
    <row r="171" ht="13" spans="1:2">
      <c r="A171" s="4" t="s">
        <v>2</v>
      </c>
      <c r="B171">
        <v>0.25</v>
      </c>
    </row>
    <row r="172" ht="13" spans="1:2">
      <c r="A172" s="4" t="s">
        <v>2</v>
      </c>
      <c r="B172">
        <v>0.25</v>
      </c>
    </row>
    <row r="173" ht="13" spans="1:2">
      <c r="A173" s="4" t="s">
        <v>2</v>
      </c>
      <c r="B173">
        <v>0.25</v>
      </c>
    </row>
    <row r="174" ht="13" spans="1:2">
      <c r="A174" s="4" t="s">
        <v>2</v>
      </c>
      <c r="B174">
        <v>0.25</v>
      </c>
    </row>
    <row r="175" ht="13" spans="1:2">
      <c r="A175" s="4" t="s">
        <v>2</v>
      </c>
      <c r="B175">
        <v>0.25</v>
      </c>
    </row>
    <row r="176" ht="13" spans="1:2">
      <c r="A176" s="4" t="s">
        <v>2</v>
      </c>
      <c r="B176">
        <v>0.25</v>
      </c>
    </row>
    <row r="177" ht="13" spans="1:2">
      <c r="A177" s="4" t="s">
        <v>2</v>
      </c>
      <c r="B177">
        <v>0.25</v>
      </c>
    </row>
    <row r="178" ht="13" spans="1:2">
      <c r="A178" s="4" t="s">
        <v>2</v>
      </c>
      <c r="B178">
        <v>0.25</v>
      </c>
    </row>
    <row r="179" ht="13" spans="1:2">
      <c r="A179" s="4" t="s">
        <v>2</v>
      </c>
      <c r="B179">
        <v>0.25</v>
      </c>
    </row>
  </sheetData>
  <sortState ref="A2:B179">
    <sortCondition ref="A2:A179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8" sqref="D18"/>
    </sheetView>
  </sheetViews>
  <sheetFormatPr defaultColWidth="8.72727272727273" defaultRowHeight="12.5" outlineLevelRow="5" outlineLevelCol="3"/>
  <cols>
    <col min="2" max="2" width="34.9090909090909" customWidth="1"/>
    <col min="3" max="3" width="15.5454545454545" customWidth="1"/>
    <col min="4" max="4" width="30.8181818181818" customWidth="1"/>
  </cols>
  <sheetData>
    <row r="1" ht="15.5" spans="1:4">
      <c r="A1" s="1" t="s">
        <v>374</v>
      </c>
      <c r="B1" s="1" t="s">
        <v>375</v>
      </c>
      <c r="C1" s="1" t="s">
        <v>374</v>
      </c>
      <c r="D1" s="1" t="s">
        <v>375</v>
      </c>
    </row>
    <row r="2" ht="30" spans="1:4">
      <c r="A2" s="2">
        <v>1</v>
      </c>
      <c r="B2" s="3" t="s">
        <v>376</v>
      </c>
      <c r="C2" s="2">
        <v>6</v>
      </c>
      <c r="D2" s="3" t="s">
        <v>377</v>
      </c>
    </row>
    <row r="3" ht="30" spans="1:4">
      <c r="A3" s="2">
        <v>2</v>
      </c>
      <c r="B3" s="3" t="s">
        <v>378</v>
      </c>
      <c r="C3" s="2">
        <v>7</v>
      </c>
      <c r="D3" s="3" t="s">
        <v>379</v>
      </c>
    </row>
    <row r="4" ht="30" spans="1:4">
      <c r="A4" s="2">
        <v>3</v>
      </c>
      <c r="B4" s="3" t="s">
        <v>380</v>
      </c>
      <c r="C4" s="2">
        <v>8</v>
      </c>
      <c r="D4" s="3" t="s">
        <v>381</v>
      </c>
    </row>
    <row r="5" ht="15.5" spans="1:4">
      <c r="A5" s="2">
        <v>4</v>
      </c>
      <c r="B5" s="3" t="s">
        <v>382</v>
      </c>
      <c r="C5" s="2">
        <v>9</v>
      </c>
      <c r="D5" s="3" t="s">
        <v>383</v>
      </c>
    </row>
    <row r="6" ht="45" spans="1:4">
      <c r="A6" s="2">
        <v>5</v>
      </c>
      <c r="B6" s="3" t="s">
        <v>384</v>
      </c>
      <c r="C6" s="2">
        <v>10</v>
      </c>
      <c r="D6" s="3" t="s">
        <v>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</cp:lastModifiedBy>
  <dcterms:created xsi:type="dcterms:W3CDTF">2024-09-19T03:37:00Z</dcterms:created>
  <dcterms:modified xsi:type="dcterms:W3CDTF">2024-09-25T09:16:03Z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F37F01FB1E2F43F0BFFA7C29A66795D4_13</vt:lpwstr>
  </property>
  <property fmtid="{D5CDD505-2E9C-101B-9397-08002B2CF9AE}" pid="3" name="KSOProductBuildVer">
    <vt:lpwstr>2052-12.1.0.17827</vt:lpwstr>
  </property>
</Properties>
</file>